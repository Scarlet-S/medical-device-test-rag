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67378A1A-3AD3-44AA-8F4A-ADA02DA054AC}" xr6:coauthVersionLast="47" xr6:coauthVersionMax="47" xr10:uidLastSave="{00000000-0000-0000-0000-000000000000}"/>
  <bookViews>
    <workbookView xWindow="-110" yWindow="-110" windowWidth="25820" windowHeight="15500" tabRatio="599" activeTab="2" xr2:uid="{00000000-000D-0000-FFFF-FFFF00000000}"/>
  </bookViews>
  <sheets>
    <sheet name="文档目录" sheetId="1" r:id="rId1"/>
    <sheet name="评测题集" sheetId="2" r:id="rId2"/>
    <sheet name="评测记录" sheetId="3" r:id="rId3"/>
    <sheet name="指标看板" sheetId="4" r:id="rId4"/>
    <sheet name="参数记录" sheetId="5" r:id="rId5"/>
  </sheets>
  <calcPr calcId="191029"/>
</workbook>
</file>

<file path=xl/calcChain.xml><?xml version="1.0" encoding="utf-8"?>
<calcChain xmlns="http://schemas.openxmlformats.org/spreadsheetml/2006/main">
  <c r="C21" i="4" l="1"/>
  <c r="E21" i="4" s="1"/>
  <c r="B21" i="4"/>
  <c r="C20" i="4"/>
  <c r="E20" i="4" s="1"/>
  <c r="B20" i="4"/>
  <c r="C19" i="4"/>
  <c r="E19" i="4" s="1"/>
  <c r="B19" i="4"/>
  <c r="C18" i="4"/>
  <c r="E18" i="4" s="1"/>
  <c r="B18" i="4"/>
  <c r="C17" i="4"/>
  <c r="E17" i="4" s="1"/>
  <c r="B17" i="4"/>
  <c r="E6" i="4"/>
  <c r="E12" i="4" s="1"/>
  <c r="B6" i="4"/>
  <c r="M52" i="3"/>
  <c r="M51" i="3"/>
  <c r="M50" i="3"/>
  <c r="M49" i="3"/>
  <c r="M48" i="3"/>
  <c r="M47" i="3"/>
  <c r="M46" i="3"/>
  <c r="M45" i="3"/>
  <c r="M44" i="3"/>
  <c r="F21" i="4" s="1"/>
  <c r="M43" i="3"/>
  <c r="M42" i="3"/>
  <c r="M41" i="3"/>
  <c r="M40" i="3"/>
  <c r="M39" i="3"/>
  <c r="M38" i="3"/>
  <c r="M37" i="3"/>
  <c r="M36" i="3"/>
  <c r="M35" i="3"/>
  <c r="M34" i="3"/>
  <c r="M33" i="3"/>
  <c r="M32" i="3"/>
  <c r="M31" i="3"/>
  <c r="M30" i="3"/>
  <c r="M29" i="3"/>
  <c r="M28" i="3"/>
  <c r="M27" i="3"/>
  <c r="M26" i="3"/>
  <c r="M25" i="3"/>
  <c r="M24" i="3"/>
  <c r="M23" i="3"/>
  <c r="F19" i="4" s="1"/>
  <c r="M22" i="3"/>
  <c r="M21" i="3"/>
  <c r="F18" i="4" s="1"/>
  <c r="M20" i="3"/>
  <c r="M19" i="3"/>
  <c r="M18" i="3"/>
  <c r="M17" i="3"/>
  <c r="M16" i="3"/>
  <c r="M15" i="3"/>
  <c r="M14" i="3"/>
  <c r="M13" i="3"/>
  <c r="M12" i="3"/>
  <c r="M11" i="3"/>
  <c r="M10" i="3"/>
  <c r="M9" i="3"/>
  <c r="M8" i="3"/>
  <c r="M7" i="3"/>
  <c r="M6" i="3"/>
  <c r="M5" i="3"/>
  <c r="M4" i="3"/>
  <c r="M3" i="3"/>
  <c r="F20" i="4" l="1"/>
  <c r="F17" i="4"/>
  <c r="H12" i="4"/>
  <c r="D18" i="4"/>
  <c r="D17" i="4"/>
  <c r="D19" i="4"/>
  <c r="H6" i="4"/>
  <c r="D20" i="4"/>
  <c r="B9" i="4"/>
  <c r="E9" i="4"/>
  <c r="H9" i="4"/>
  <c r="B12" i="4"/>
  <c r="D21" i="4"/>
</calcChain>
</file>

<file path=xl/sharedStrings.xml><?xml version="1.0" encoding="utf-8"?>
<sst xmlns="http://schemas.openxmlformats.org/spreadsheetml/2006/main" count="963" uniqueCount="403">
  <si>
    <t>第一批知识库文档目录</t>
  </si>
  <si>
    <t>文档ID</t>
  </si>
  <si>
    <t>标题</t>
  </si>
  <si>
    <t>分类</t>
  </si>
  <si>
    <t>发布机构</t>
  </si>
  <si>
    <t>发布日期</t>
  </si>
  <si>
    <t>文件类型</t>
  </si>
  <si>
    <t>来源URL</t>
  </si>
  <si>
    <t>本地文件名</t>
  </si>
  <si>
    <t>状态</t>
  </si>
  <si>
    <t>处理说明</t>
  </si>
  <si>
    <t>DOC001</t>
  </si>
  <si>
    <t>医疗器械软件注册审查指导原则（2022年修订版）</t>
  </si>
  <si>
    <t>software_lifecycle</t>
  </si>
  <si>
    <t>国家药品监督管理局医疗器械技术审评中心</t>
  </si>
  <si>
    <t>2022-03-10</t>
  </si>
  <si>
    <t>PDF</t>
  </si>
  <si>
    <t>https://www.cncsdr.org/ggtz/ggzz/202203/t20220311_304189.html</t>
  </si>
  <si>
    <t>DOC001_CMDE_software_guidance_2022.pdf</t>
  </si>
  <si>
    <t>Validated</t>
  </si>
  <si>
    <t>原始PDF参与检索；已完成表格修复、人工检查与检索验证</t>
  </si>
  <si>
    <t>DOC002</t>
  </si>
  <si>
    <t>医疗器械网络安全注册审查指导原则（2022年修订版）</t>
  </si>
  <si>
    <t>access_control_and_security</t>
  </si>
  <si>
    <t>https://www.cncsdr.org/ggtz/ggzz/202203/t20220311_304187.html</t>
  </si>
  <si>
    <t>DOC002_CMDE_cybersecurity_guidance_2022.pdf</t>
  </si>
  <si>
    <t>原始PDF参与检索；已完成人工检查与检索验证</t>
  </si>
  <si>
    <t>DOC003</t>
  </si>
  <si>
    <t>医疗器械生产质量管理规范附录 独立软件</t>
  </si>
  <si>
    <t>国家药品监督管理局</t>
  </si>
  <si>
    <t>2019-07-12</t>
  </si>
  <si>
    <t>https://www.nmpa.gov.cn/xxgk/ggtg/ylqxggtg/ylqxqtggtg/20190712113301132.html</t>
  </si>
  <si>
    <t>DOC003_NMPA_independent_software_GMP_2019.pdf</t>
  </si>
  <si>
    <t>DOC004</t>
  </si>
  <si>
    <t>医疗器械生产质量管理规范独立软件现场检查指导原则</t>
  </si>
  <si>
    <t>software_testing</t>
  </si>
  <si>
    <t>国家药品监督管理局综合司</t>
  </si>
  <si>
    <t>2020-06-04</t>
  </si>
  <si>
    <t>PDF+Markdown</t>
  </si>
  <si>
    <t>https://www.nmpa.gov.cn/xxgk/fgwj/gzwj/gzwjylqx/20200604162801601.html</t>
  </si>
  <si>
    <t>DOC004_NMPA_software_inspection_guideline_2020.pdf</t>
  </si>
  <si>
    <t>原始PDF留档；RAGFlow标题切片版Markdown参与检索</t>
  </si>
  <si>
    <t>DOC005</t>
  </si>
  <si>
    <t>医疗器械注册质量管理体系核查指南</t>
  </si>
  <si>
    <t>requirements_and_traceability</t>
  </si>
  <si>
    <t>2022-10-10</t>
  </si>
  <si>
    <t>https://www.nmpa.gov.cn/ylqx/ylqxggtg/20221010110514148.html</t>
  </si>
  <si>
    <t>DOC005_NMPA_registration_QMS_inspection_2022.pdf</t>
  </si>
  <si>
    <t>正文参与检索；附表重复分块已关闭</t>
  </si>
  <si>
    <t>医疗器械软件测试知识库标准评测题集（v1）</t>
  </si>
  <si>
    <t>问题ID</t>
  </si>
  <si>
    <t>预期文档</t>
  </si>
  <si>
    <t>主题</t>
  </si>
  <si>
    <t>难度</t>
  </si>
  <si>
    <t>问题类型</t>
  </si>
  <si>
    <t>评测问题</t>
  </si>
  <si>
    <t>预期定位</t>
  </si>
  <si>
    <t>标准答案要点</t>
  </si>
  <si>
    <t>备注</t>
  </si>
  <si>
    <t>Q001</t>
  </si>
  <si>
    <t>适用范围</t>
  </si>
  <si>
    <t>基础</t>
  </si>
  <si>
    <t>范围问答</t>
  </si>
  <si>
    <t>《医疗器械软件注册审查指导原则（2022年修订版）》适用于哪些类型和类别的医疗器械软件注册申报？</t>
  </si>
  <si>
    <t>一、适用范围</t>
  </si>
  <si>
    <t>适用于第二、三类独立软件和含有软件组件的医疗器械（含体外诊断医疗器械），并适用于自研软件和现成软件。</t>
  </si>
  <si>
    <t>待测试</t>
  </si>
  <si>
    <t>Q002</t>
  </si>
  <si>
    <t>软件分类</t>
  </si>
  <si>
    <t>概念辨析</t>
  </si>
  <si>
    <t>独立软件（SaMD）与软件组件（SiMD）的主要区别是什么？</t>
  </si>
  <si>
    <t>二、主要概念（一）医疗器械软件</t>
  </si>
  <si>
    <t>SaMD无需医疗器械硬件即可完成预期用途，运行于通用计算平台；SiMD控制/驱动医疗器械硬件或运行于医用计算平台，通常随整机注册。</t>
  </si>
  <si>
    <t>Q003</t>
  </si>
  <si>
    <t>外部软件环境</t>
  </si>
  <si>
    <t>中等</t>
  </si>
  <si>
    <t>概念问答</t>
  </si>
  <si>
    <t>必备软件与外部软件环境有什么区别？</t>
  </si>
  <si>
    <t>二、主要概念（二）系统软件、应用软件、中间件、支持软件</t>
  </si>
  <si>
    <t>必备软件是医疗器械软件正常运行必需的其他医疗器械软件或医用中间件，通常单独注册；外部软件环境是正常运行必需的系统软件、通用应用软件、通用中间件和支持软件，不属于医疗器械软件。</t>
  </si>
  <si>
    <t>Q004</t>
  </si>
  <si>
    <t>软件生存周期</t>
  </si>
  <si>
    <t>列表问答</t>
  </si>
  <si>
    <t>医疗器械软件生存周期通常包括哪些阶段？</t>
  </si>
  <si>
    <t>二、主要概念（三）软件生存周期</t>
  </si>
  <si>
    <t>包括软件开发策划、需求分析、设计、编码、测试、发布、部署、维护和停运等阶段。</t>
  </si>
  <si>
    <t>Q005</t>
  </si>
  <si>
    <t>软件测试</t>
  </si>
  <si>
    <t>比较问答</t>
  </si>
  <si>
    <t>黑盒测试、白盒测试和灰盒测试分别是什么？</t>
  </si>
  <si>
    <t>二、主要概念（四）软件测试、软件验证、软件确认</t>
  </si>
  <si>
    <t>黑盒测试基于输入输出；白盒测试基于源代码；灰盒测试组合使用黑盒和白盒方法。</t>
  </si>
  <si>
    <t>Q006</t>
  </si>
  <si>
    <t>回归测试</t>
  </si>
  <si>
    <t>要求问答</t>
  </si>
  <si>
    <t>软件更新后，回归测试应如何确定测试范围？</t>
  </si>
  <si>
    <t>应根据软件更新的类型、内容和程度，选择适宜的单元、集成、系统、用户或第三方测试，确认未产生不良影响和不可接受的新缺陷。</t>
  </si>
  <si>
    <t>Q007</t>
  </si>
  <si>
    <t>验证确认</t>
  </si>
  <si>
    <t>软件验证与软件确认的区别是什么？</t>
  </si>
  <si>
    <t>验证确认某阶段输出满足输入要求；确认认定软件满足用户需求和预期用途，并保证已知剩余缺陷风险可接受。</t>
  </si>
  <si>
    <t>Q008</t>
  </si>
  <si>
    <t>可追溯性</t>
  </si>
  <si>
    <t>综合</t>
  </si>
  <si>
    <t>关系问答</t>
  </si>
  <si>
    <t>软件可追溯性分析在需求、设计、编码和测试阶段分别需要分析哪些关系？</t>
  </si>
  <si>
    <t>二、主要概念（五）软件可追溯性分析</t>
  </si>
  <si>
    <t>需求阶段分析需求与产品需求、风险；设计阶段分析设计与需求、风险控制；编码阶段分析源代码与设计、测试用例；测试阶段分析测试用例与设计、系统测试与需求及风险管理。</t>
  </si>
  <si>
    <t>Q009</t>
  </si>
  <si>
    <t>软件更新</t>
  </si>
  <si>
    <t>分类问答</t>
  </si>
  <si>
    <t>重大软件更新和轻微软件更新的判定及注册处理原则是什么？</t>
  </si>
  <si>
    <t>二、主要概念（六）软件更新</t>
  </si>
  <si>
    <t>重大更新影响安全性或有效性，通常需要变更注册；轻微更新不影响安全性和有效性，通过质量管理体系控制，并在后续适当时提交资料。</t>
  </si>
  <si>
    <t>Q010</t>
  </si>
  <si>
    <t>现成软件</t>
  </si>
  <si>
    <t>场景问答</t>
  </si>
  <si>
    <t>现成软件组件采用部分使用方式与全部使用方式时，研究资料提交要求有何不同？</t>
  </si>
  <si>
    <t>八、医疗器械软件研究资料（三）现成软件研究资料</t>
  </si>
  <si>
    <t>部分使用方式无需单独提交研究报告，在自研软件报告适用条款中说明；全部使用方式需单独提交现成软件组件研究报告及类型判定依据。</t>
  </si>
  <si>
    <t>Q011</t>
  </si>
  <si>
    <t>哪些具备网络相关功能的医疗器械适用网络安全注册审查指导原则？</t>
  </si>
  <si>
    <t>具备电子数据交换、远程访问与控制、用户访问三类功能中至少一种的第二、三类独立软件和含软件组件的医疗器械。</t>
  </si>
  <si>
    <t>Q012</t>
  </si>
  <si>
    <t>网络安全特性</t>
  </si>
  <si>
    <t>定义问答</t>
  </si>
  <si>
    <t>医疗器械网络安全中的保密性、完整性和可得性分别指什么？</t>
  </si>
  <si>
    <t>二、主要概念（一）医疗器械网络安全</t>
  </si>
  <si>
    <t>保密性指仅授权用户以授权方式访问；完整性指数据未被未授权更改；可得性指产品和数据能按授权要求以预期方式及时访问和使用。</t>
  </si>
  <si>
    <t>Q013</t>
  </si>
  <si>
    <t>数据分类</t>
  </si>
  <si>
    <t>医疗数据与设备数据有什么区别，设备数据能否包含个人信息？</t>
  </si>
  <si>
    <t>二、主要概念（二）医疗器械相关数据</t>
  </si>
  <si>
    <t>医疗数据与医疗活动相关，可含敏感个人信息；设备数据记录设备运行、监视、控制、维护升级情况，不得包含个人信息。</t>
  </si>
  <si>
    <t>Q014</t>
  </si>
  <si>
    <t>电子接口</t>
  </si>
  <si>
    <t>网络接口和电子数据交换接口的主要区别是什么？</t>
  </si>
  <si>
    <t>二、主要概念（三）医疗器械电子接口</t>
  </si>
  <si>
    <t>网络接口基于有线或无线网络进行数据交换或远程访问控制；电子数据交换接口基于非网络接口或存储媒介进行数据交换。</t>
  </si>
  <si>
    <t>Q015</t>
  </si>
  <si>
    <t>安全能力</t>
  </si>
  <si>
    <t>列举至少六项医疗器械网络安全能力。</t>
  </si>
  <si>
    <t>二、主要概念（四）医疗器械网络安全能力</t>
  </si>
  <si>
    <t>可包括自动注销、审核、授权、节点鉴别、人员鉴别、连通性、物理防护、系统加固、数据备份与灾难恢复、数据传输保密性等。</t>
  </si>
  <si>
    <t>Q016</t>
  </si>
  <si>
    <t>风险管理</t>
  </si>
  <si>
    <t>流程问答</t>
  </si>
  <si>
    <t>医疗器械网络安全风险管理通常包括哪些主要步骤？</t>
  </si>
  <si>
    <t>三、基本原则（二）风险管理</t>
  </si>
  <si>
    <t>识别资产、威胁和脆弱性；评估影响和被利用可能性；确定风险水平并实施控制；按接受准则评价综合剩余风险并确保可接受。</t>
  </si>
  <si>
    <t>Q017</t>
  </si>
  <si>
    <t>全生命周期质控</t>
  </si>
  <si>
    <t>医疗器械上市前和上市后分别应开展哪些网络安全质控活动？</t>
  </si>
  <si>
    <t>三、基本原则（三）全生命周期质控</t>
  </si>
  <si>
    <t>上市前结合质量体系和产品特性开展网络安全质控；上市后开展更新请求评估、验证确认、风险管理、用户告知，建立事件应急响应并定期评估漏洞风险。</t>
  </si>
  <si>
    <t>Q018</t>
  </si>
  <si>
    <t>网络安全更新</t>
  </si>
  <si>
    <t>重大网络安全更新和轻微网络安全更新如何判定及处理？</t>
  </si>
  <si>
    <t>医疗器械网络安全更新</t>
  </si>
  <si>
    <t>重大更新影响安全性或有效性，应申请变更注册；轻微更新不影响安全性和有效性，通过质量管理体系控制，无需立即变更注册。</t>
  </si>
  <si>
    <t>Q019</t>
  </si>
  <si>
    <t>遗留设备</t>
  </si>
  <si>
    <t>判定问答</t>
  </si>
  <si>
    <t>如何结合停售（EOL）和停止售后服务（EOS）判断医疗器械是否属于遗留设备？</t>
  </si>
  <si>
    <t>在售设备不是遗留设备；停售但未停止售后服务时，若无法通过合理控制抵御当前威胁则属于遗留设备；停止售后服务的设备均属于遗留设备。</t>
  </si>
  <si>
    <t>Q020</t>
  </si>
  <si>
    <t>远程维护</t>
  </si>
  <si>
    <t>材料问答</t>
  </si>
  <si>
    <t>医疗器械远程维护与升级应明确哪些技术特征和安全资料？</t>
  </si>
  <si>
    <t>远程维护与升级</t>
  </si>
  <si>
    <t>应明确实现方法、电子接口、设备数据内容、设备数据与医疗数据隔离方法、网络安全保证措施，并提供研究和风险管理资料；涉及境外访问医疗数据时还需符合数据出境要求。</t>
  </si>
  <si>
    <t>Q021</t>
  </si>
  <si>
    <t>人员职责</t>
  </si>
  <si>
    <t>黑盒测试中，同一软件项的开发人员和测试人员能否互相兼任？</t>
  </si>
  <si>
    <t>2.1.2</t>
  </si>
  <si>
    <t>不能互相兼任。</t>
  </si>
  <si>
    <t>Q022</t>
  </si>
  <si>
    <t>开发测试环境</t>
  </si>
  <si>
    <t>软件开发和测试环境应持续提供哪些资源和保证措施？</t>
  </si>
  <si>
    <t>2.2.1—2.2.2</t>
  </si>
  <si>
    <t>Q023</t>
  </si>
  <si>
    <t>安全性级别</t>
  </si>
  <si>
    <t>软件安全性级别应在何时、依据哪些因素判定，能否通过内部风险控制措施降低？</t>
  </si>
  <si>
    <t>2.3.2</t>
  </si>
  <si>
    <t>应在采取风险控制措施前，结合预期用途、使用场景和核心功能综合判定；仅可通过外部风险控制措施降低级别。</t>
  </si>
  <si>
    <t>Q024</t>
  </si>
  <si>
    <t>软件可追溯性分析需要建立哪些控制和输出？</t>
  </si>
  <si>
    <t>2.3.6</t>
  </si>
  <si>
    <t>应建立控制程序并形成文件，涵盖现成软件和网络安全要求，形成可追溯性分析报告供评审，并使用工具贯穿开发和更新过程。</t>
  </si>
  <si>
    <t>Q025</t>
  </si>
  <si>
    <t>需求分析</t>
  </si>
  <si>
    <t>软件需求分析需要形成哪些文件和记录？</t>
  </si>
  <si>
    <t>2.3.9</t>
  </si>
  <si>
    <t>应形成软件需求规范和评审记录并经批准，适时更新并重新批准；同时分析软件需求与风险管理、产品需求的关系。</t>
  </si>
  <si>
    <t>Q026</t>
  </si>
  <si>
    <t>软件验证</t>
  </si>
  <si>
    <t>软件验证应包括哪些活动，白盒测试覆盖率应考虑哪些类型？</t>
  </si>
  <si>
    <t>2.3.12</t>
  </si>
  <si>
    <t>活动包括源代码审核、静态分析、动态分析、单元、集成、系统测试和评审；覆盖率包括语句、判定、条件、路径，并与安全性级别相适宜。</t>
  </si>
  <si>
    <t>Q027</t>
  </si>
  <si>
    <t>记录问答</t>
  </si>
  <si>
    <t>单元、集成和系统测试需要形成哪些记录，并开展哪些可追溯性分析？</t>
  </si>
  <si>
    <t>2.3.13</t>
  </si>
  <si>
    <t>需形成测试记录、测试报告和评审记录，并分析各级测试用例与设计、系统测试与需求、系统测试与风险管理的关系。</t>
  </si>
  <si>
    <t>Q028</t>
  </si>
  <si>
    <t>软件更新需要开展哪些控制活动，验证与确认应实施哪些测试？</t>
  </si>
  <si>
    <t>2.3.16</t>
  </si>
  <si>
    <t>应开展更新请求评估、策划、实施、风险管理、验证确认、缺陷管理、追溯、配置、文件记录、评审和用户告知；按更新类型、内容和程度实施回归测试、用户测试等。</t>
  </si>
  <si>
    <t>Q029</t>
  </si>
  <si>
    <t>缺陷管理</t>
  </si>
  <si>
    <t>软件缺陷管理文件应明确哪些活动和输出？</t>
  </si>
  <si>
    <t>2.3.17</t>
  </si>
  <si>
    <t>Q030</t>
  </si>
  <si>
    <t>软件停运</t>
  </si>
  <si>
    <t>软件停运需要确定并记录哪些后续活动？</t>
  </si>
  <si>
    <t>2.7.2</t>
  </si>
  <si>
    <t>应形成文件，确定停运后续用户服务、数据迁移、患者数据与隐私保护、用户告知等活动，并保持记录。</t>
  </si>
  <si>
    <t>Q031</t>
  </si>
  <si>
    <t>组织职责</t>
  </si>
  <si>
    <t>检查问答</t>
  </si>
  <si>
    <t>现场检查时，如何核实生产管理部门和质量管理部门负责人没有互相兼任？</t>
  </si>
  <si>
    <t>1.1.3</t>
  </si>
  <si>
    <t>查看任职或授权文件，并对照生产、检验等职责履行记录，核实与授权一致。</t>
  </si>
  <si>
    <t>Q032</t>
  </si>
  <si>
    <t>黑盒测试</t>
  </si>
  <si>
    <t>现场检查黑盒测试人员独立性时，应查看哪些文件和记录？</t>
  </si>
  <si>
    <t>1.8.1</t>
  </si>
  <si>
    <t>查看软件质量保证相关文件是否规定开发与测试人员不得兼任，并抽查相应开发人员和测试人员记录。</t>
  </si>
  <si>
    <t>Q033</t>
  </si>
  <si>
    <t>环境维护</t>
  </si>
  <si>
    <t>软件开发和测试环境维护现场检查应关注哪些文件和记录？</t>
  </si>
  <si>
    <t>3.2.1</t>
  </si>
  <si>
    <t>检查维护文件是否规定定期验证、更新升级、病毒防护等活动，并现场抽查相关记录。</t>
  </si>
  <si>
    <t>Q034</t>
  </si>
  <si>
    <t>生命周期控制</t>
  </si>
  <si>
    <t>软件生存周期过程控制程序应覆盖哪些主要活动？</t>
  </si>
  <si>
    <t>5.1.1</t>
  </si>
  <si>
    <t>应覆盖开发策划、需求、设计、编码、验证确认、更新、风险、缺陷、追溯、配置、文件记录、现成软件、网络安全、发布、部署和停运等。</t>
  </si>
  <si>
    <t>Q035</t>
  </si>
  <si>
    <t>检查软件需求分析时应查看哪些文件、记录和追溯关系？</t>
  </si>
  <si>
    <t>5.9.1</t>
  </si>
  <si>
    <t>查看需求分析文件、SRS、评审记录和追溯记录；确认涵盖法规标准等需求，并分析需求与风险管理、产品需求的关系。</t>
  </si>
  <si>
    <t>Q036</t>
  </si>
  <si>
    <t>软件编码</t>
  </si>
  <si>
    <t>检查软件编码活动时，应关注哪些记录以及哪些追溯关系？</t>
  </si>
  <si>
    <t>5.11.1</t>
  </si>
  <si>
    <t>关注编码相关文件、评审记录、编码规则、源代码与注释、测试用例创建记录；追溯源代码与设计、源代码与测试用例。</t>
  </si>
  <si>
    <t>Q037</t>
  </si>
  <si>
    <t>软件验证现场检查应确认哪些活动及覆盖率要求？</t>
  </si>
  <si>
    <t>5.12.1</t>
  </si>
  <si>
    <t>确认源代码审核、静态和动态分析、单元、集成、系统测试及评审等要求；白盒覆盖率包括语句、判定、条件、路径并匹配安全性级别。</t>
  </si>
  <si>
    <t>Q038</t>
  </si>
  <si>
    <t>根据条款5.16.3，软件更新后验证与确认需要开展哪些测试？</t>
  </si>
  <si>
    <t>5.16.3</t>
  </si>
  <si>
    <t>根据更新类型、内容和程度实施相适宜的回归测试、用户测试等活动。</t>
  </si>
  <si>
    <t>Q039</t>
  </si>
  <si>
    <t>外包软件</t>
  </si>
  <si>
    <t>外包软件质量协议至少应明确哪些内容？</t>
  </si>
  <si>
    <t>6.5.1</t>
  </si>
  <si>
    <t>应明确需求分析、交付形式、验收方式与准则、设计开发文件交付、知识产权归属、维护要求和双方质量责任。</t>
  </si>
  <si>
    <t>Q040</t>
  </si>
  <si>
    <t>软件停运文件应确定哪些活动要求？</t>
  </si>
  <si>
    <t>9.6.1</t>
  </si>
  <si>
    <t>应确定停运后续用户服务、数据迁移、患者数据与隐私保护、用户告知等活动，并保持相关记录。</t>
  </si>
  <si>
    <t>Q041</t>
  </si>
  <si>
    <t>质量管理体系</t>
  </si>
  <si>
    <t>注册申请人的质量管理体系应保证哪些数据质量和一致性要求？</t>
  </si>
  <si>
    <t>3.1</t>
  </si>
  <si>
    <t>应确保设计开发、生产等过程数据真实、准确、完整、可追溯，并与注册申报资料一致。</t>
  </si>
  <si>
    <t>Q042</t>
  </si>
  <si>
    <t>委托活动</t>
  </si>
  <si>
    <t>存在委托研发或委托生产时，注册质量管理体系核查范围如何确定？</t>
  </si>
  <si>
    <t>3.4</t>
  </si>
  <si>
    <t>核查应涵盖受托研发、受托生产活动；必要时对提供研发、生产产品或服务的其他单位开展延伸检查。</t>
  </si>
  <si>
    <t>Q043</t>
  </si>
  <si>
    <t>设计输入</t>
  </si>
  <si>
    <t>设计和开发输入一般应包括哪些内容？</t>
  </si>
  <si>
    <t>4.5.2</t>
  </si>
  <si>
    <t>包括法律法规、国家和行业标准、国内外指南、标准品或参考物质信息、用户需求、适用范围、前代或同类产品技术指标、产品风险等。</t>
  </si>
  <si>
    <t>Q044</t>
  </si>
  <si>
    <t>设计开发验证或确认的工作范围和程度应如何确定？</t>
  </si>
  <si>
    <t>4.5.4</t>
  </si>
  <si>
    <t>应基于风险评估结果确定验证或确认的范围和程度，并确保有关操作关键要素得到有效控制。</t>
  </si>
  <si>
    <t>Q045</t>
  </si>
  <si>
    <t>设计转换</t>
  </si>
  <si>
    <t>设计转换需要保留哪些证据，目标是什么？</t>
  </si>
  <si>
    <t>4.5.5</t>
  </si>
  <si>
    <t>保留全部设计转换活动记录，证明设计输出在成为最终产品规范前已充分验证并适用于常规生产，确保在确定的原材料和设备条件下稳定生产合格产品。</t>
  </si>
  <si>
    <t>Q046</t>
  </si>
  <si>
    <t>设计变更</t>
  </si>
  <si>
    <t>控制问答</t>
  </si>
  <si>
    <t>设计和开发变更应经过哪些控制活动？</t>
  </si>
  <si>
    <t>4.5.11</t>
  </si>
  <si>
    <t>产品、引用文件、设计转换、外部要求或强制性标准变化引发的变更，应经过风险评估、验证或确认，确保变更受控。</t>
  </si>
  <si>
    <t>Q047</t>
  </si>
  <si>
    <t>委托研发</t>
  </si>
  <si>
    <t>协议问答</t>
  </si>
  <si>
    <t>委托研发协议及数据可靠性控制应满足哪些要求？</t>
  </si>
  <si>
    <t>4.5.12.2</t>
  </si>
  <si>
    <t>协议应明确各方责任、研发内容和技术事项；申请人对过程和结果负责，并确保过程数据可靠；受托方保证数据真实、准确、完整和可追溯。</t>
  </si>
  <si>
    <t>Q048</t>
  </si>
  <si>
    <t>产品真实性</t>
  </si>
  <si>
    <t>追溯问答</t>
  </si>
  <si>
    <t>注册检验产品真实性核查应重点核对哪些信息的一致性和可追溯性？</t>
  </si>
  <si>
    <t>4.10.1—4.10.4</t>
  </si>
  <si>
    <t>核对批号/编号、规格型号、检验时间数量依据结论、关键原料部件、软件发布版本照片、标签、采购和生产记录等是否一致并可追溯。</t>
  </si>
  <si>
    <t>Q049</t>
  </si>
  <si>
    <t>核查结论</t>
  </si>
  <si>
    <t>注册质量管理体系现场核查可能形成哪四种结论？</t>
  </si>
  <si>
    <t>5.2</t>
  </si>
  <si>
    <t>通过核查、未通过核查、整改后通过核查、整改后未通过核查。</t>
  </si>
  <si>
    <t>Q050</t>
  </si>
  <si>
    <t>整改复查</t>
  </si>
  <si>
    <t>时限问答</t>
  </si>
  <si>
    <t>何种情况下进入整改后复查，整改期限及未通过条件是什么？</t>
  </si>
  <si>
    <t>5.2.3—5.2.4</t>
  </si>
  <si>
    <t>无真实性问题且关键项目少于3项、一般项目少于10项不符合时进入整改后复查；应在6个月内一次性提交整改报告；逾期未交或复查仍有不符合，建议整改后未通过核查。</t>
  </si>
  <si>
    <t>实际Top1文档</t>
  </si>
  <si>
    <t>实际Top1定位</t>
  </si>
  <si>
    <t>Top1命中</t>
  </si>
  <si>
    <t>Top3命中</t>
  </si>
  <si>
    <t>引用正确</t>
  </si>
  <si>
    <t>回答准确度(0-2)</t>
  </si>
  <si>
    <t>是否幻觉</t>
  </si>
  <si>
    <t>测试状态</t>
  </si>
  <si>
    <t>综合得分</t>
  </si>
  <si>
    <t>测试日期</t>
  </si>
  <si>
    <t>知识库评测指标看板</t>
  </si>
  <si>
    <t>使用流程：在“评测记录”中逐题填写实际召回、命中与回答质量；看板将自动计算Top-1/Top-3命中率、引用正确率、回答准确率和幻觉率。</t>
  </si>
  <si>
    <t>题目总数</t>
  </si>
  <si>
    <t>已完成</t>
  </si>
  <si>
    <t>完成率</t>
  </si>
  <si>
    <t>Top-1命中率</t>
  </si>
  <si>
    <t>Top-3命中率</t>
  </si>
  <si>
    <t>引用正确率</t>
  </si>
  <si>
    <t>回答准确率</t>
  </si>
  <si>
    <t>幻觉率</t>
  </si>
  <si>
    <t>平均得分</t>
  </si>
  <si>
    <t>题目数</t>
  </si>
  <si>
    <t>Top1命中率</t>
  </si>
  <si>
    <t>Top3命中率</t>
  </si>
  <si>
    <t>当前RAGFlow检索与模型配置</t>
  </si>
  <si>
    <t>参数类别</t>
  </si>
  <si>
    <t>参数名称</t>
  </si>
  <si>
    <t>当前值</t>
  </si>
  <si>
    <t>说明</t>
  </si>
  <si>
    <t>知识库</t>
  </si>
  <si>
    <t>知识库名称</t>
  </si>
  <si>
    <t>医疗器械控制软件测试知识库</t>
  </si>
  <si>
    <t>第一批文档DOC001—DOC005已Validated</t>
  </si>
  <si>
    <t>模型</t>
  </si>
  <si>
    <t>LLM</t>
  </si>
  <si>
    <t>deepseek-v4-flash（DeepSeek-Official）</t>
  </si>
  <si>
    <t>用于最终回答生成</t>
  </si>
  <si>
    <t>Embedding</t>
  </si>
  <si>
    <t>text-embedding-v4（Tongyi-Official）</t>
  </si>
  <si>
    <t>用于向量化</t>
  </si>
  <si>
    <t>Rerank</t>
  </si>
  <si>
    <t>qwen3-rerank（Tongyi-Official）</t>
  </si>
  <si>
    <t>用于召回结果重排序</t>
  </si>
  <si>
    <t>检索</t>
  </si>
  <si>
    <t>相似度阈值</t>
  </si>
  <si>
    <t>0.20</t>
  </si>
  <si>
    <t>当前人工测试基线</t>
  </si>
  <si>
    <t>向量权重</t>
  </si>
  <si>
    <t>0.30</t>
  </si>
  <si>
    <t>混合检索中的向量部分</t>
  </si>
  <si>
    <t>全文权重</t>
  </si>
  <si>
    <t>0.70</t>
  </si>
  <si>
    <t>混合检索中的关键词部分</t>
  </si>
  <si>
    <t>Top-K</t>
  </si>
  <si>
    <t>1024</t>
  </si>
  <si>
    <t>送入Rerank的候选数量</t>
  </si>
  <si>
    <t>返回条数</t>
  </si>
  <si>
    <t>10</t>
  </si>
  <si>
    <t>检索测试页面返回前10条</t>
  </si>
  <si>
    <t>解析方法</t>
  </si>
  <si>
    <t>General / 512 / 分隔符 \n</t>
  </si>
  <si>
    <t>使用RAGFlow标题切片版Markdown</t>
  </si>
  <si>
    <t>评测</t>
  </si>
  <si>
    <t>题目数量</t>
  </si>
  <si>
    <t>50</t>
  </si>
  <si>
    <t>每份文档10题，覆盖基础、中等、综合难度</t>
  </si>
  <si>
    <t>评分</t>
  </si>
  <si>
    <t>检索2 + 引用1 + 回答4 - 幻觉2</t>
  </si>
  <si>
    <t>满分7分，最低可为负分</t>
  </si>
  <si>
    <r>
      <t>RAGFlow</t>
    </r>
    <r>
      <rPr>
        <b/>
        <sz val="16"/>
        <color rgb="FFFFFFFF"/>
        <rFont val="微软雅黑"/>
        <family val="2"/>
        <charset val="134"/>
      </rPr>
      <t>检索与回答评测记录</t>
    </r>
    <phoneticPr fontId="6" type="noConversion"/>
  </si>
  <si>
    <t>DOC001</t>
    <phoneticPr fontId="6" type="noConversion"/>
  </si>
  <si>
    <t>一、适用范围</t>
    <phoneticPr fontId="6" type="noConversion"/>
  </si>
  <si>
    <r>
      <rPr>
        <sz val="11"/>
        <rFont val="微软雅黑"/>
        <family val="2"/>
        <charset val="134"/>
      </rPr>
      <t>独立软件（</t>
    </r>
    <r>
      <rPr>
        <sz val="11"/>
        <rFont val="Arial"/>
        <family val="2"/>
      </rPr>
      <t>SaMD</t>
    </r>
    <r>
      <rPr>
        <sz val="11"/>
        <rFont val="微软雅黑"/>
        <family val="2"/>
        <charset val="134"/>
      </rPr>
      <t>）与软件组件（</t>
    </r>
    <r>
      <rPr>
        <sz val="11"/>
        <rFont val="Arial"/>
        <family val="2"/>
      </rPr>
      <t>SiMD</t>
    </r>
    <r>
      <rPr>
        <sz val="11"/>
        <rFont val="微软雅黑"/>
        <family val="2"/>
        <charset val="134"/>
      </rPr>
      <t>）的主要区别是什么？</t>
    </r>
    <phoneticPr fontId="6" type="noConversion"/>
  </si>
  <si>
    <t>DOC002</t>
    <phoneticPr fontId="6" type="noConversion"/>
  </si>
  <si>
    <t>DOC003</t>
    <phoneticPr fontId="6" type="noConversion"/>
  </si>
  <si>
    <t>2.2.1</t>
    <phoneticPr fontId="6" type="noConversion"/>
  </si>
  <si>
    <t>应提供软硬件设备、开发测试工具、网络等资源，以及病毒防护、数据备份与恢复；环境维护需形成文件并规定定期验证、升级和病毒防护等活动。</t>
    <phoneticPr fontId="6" type="noConversion"/>
  </si>
  <si>
    <t>应明确缺陷评估、修复、回归测试、风险管理、配置管理和评审，形成缺陷分析报告，并使用缺陷管理工具贯穿生命周期。</t>
    <phoneticPr fontId="6" type="noConversion"/>
  </si>
  <si>
    <t>DOC004</t>
    <phoneticPr fontId="6" type="noConversion"/>
  </si>
  <si>
    <t>2.3.1</t>
  </si>
  <si>
    <t>2.3.11</t>
  </si>
  <si>
    <t>2.4.2</t>
    <phoneticPr fontId="6" type="noConversion"/>
  </si>
  <si>
    <t>2.7.2</t>
    <phoneticPr fontId="6" type="noConversion"/>
  </si>
  <si>
    <t>DOC005</t>
    <phoneticPr fontId="6" type="noConversion"/>
  </si>
  <si>
    <t>4.10.1</t>
    <phoneticPr fontId="6" type="noConversion"/>
  </si>
  <si>
    <t>5.2.3</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</si>
</sst>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12">
    <font>
      <sz val="11"/>
      <name val="Carlito"/>
    </font>
    <font>
      <b/>
      <sz val="16"/>
      <color rgb="FFFFFFFF"/>
      <name val="Carlito"/>
    </font>
    <font>
      <b/>
      <sz val="11"/>
      <color rgb="FF163A59"/>
      <name val="Carlito"/>
    </font>
    <font>
      <sz val="11"/>
      <color rgb="FF7F6000"/>
      <name val="Carlito"/>
    </font>
    <font>
      <b/>
      <sz val="15"/>
      <color rgb="FF1F4E78"/>
      <name val="Carlito"/>
    </font>
    <font>
      <sz val="11"/>
      <name val="Carlito"/>
    </font>
    <font>
      <sz val="9"/>
      <name val="宋体"/>
      <family val="3"/>
      <charset val="134"/>
    </font>
    <font>
      <b/>
      <sz val="16"/>
      <color rgb="FFFFFFFF"/>
      <name val="微软雅黑"/>
      <family val="2"/>
      <charset val="134"/>
    </font>
    <font>
      <sz val="11"/>
      <name val="微软雅黑"/>
      <family val="2"/>
      <charset val="134"/>
    </font>
    <font>
      <sz val="11"/>
      <name val="Arial"/>
      <family val="2"/>
    </font>
    <font>
      <sz val="11"/>
      <name val="Carlito"/>
      <family val="2"/>
      <charset val="134"/>
    </font>
    <font>
      <sz val="14"/>
      <color rgb="FF161618"/>
      <name val="Arial"/>
      <family val="2"/>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FFFFFF"/>
      </patternFill>
    </fill>
  </fills>
  <borders count="1">
    <border>
      <left/>
      <right/>
      <top/>
      <bottom/>
      <diagonal/>
    </border>
  </borders>
  <cellStyleXfs count="2">
    <xf numFmtId="0" fontId="0" fillId="0" borderId="0"/>
    <xf numFmtId="0" fontId="5" fillId="0" borderId="0"/>
  </cellStyleXfs>
  <cellXfs count="15">
    <xf numFmtId="0" fontId="0" fillId="0" borderId="0" xfId="0"/>
    <xf numFmtId="0" fontId="2" fillId="3" borderId="0" xfId="1" applyFont="1" applyFill="1" applyAlignment="1">
      <alignment horizontal="center" vertical="center" wrapText="1"/>
    </xf>
    <xf numFmtId="0" fontId="0" fillId="0" borderId="0" xfId="1" applyFont="1" applyAlignment="1">
      <alignment wrapText="1"/>
    </xf>
    <xf numFmtId="176" fontId="0" fillId="0" borderId="0" xfId="1" applyNumberFormat="1" applyFont="1" applyAlignment="1">
      <alignment wrapText="1"/>
    </xf>
    <xf numFmtId="0" fontId="4" fillId="5" borderId="0" xfId="1" applyFont="1" applyFill="1" applyAlignment="1">
      <alignment horizontal="center" vertical="center" wrapText="1"/>
    </xf>
    <xf numFmtId="177" fontId="4" fillId="5" borderId="0" xfId="1" applyNumberFormat="1" applyFont="1" applyFill="1" applyAlignment="1">
      <alignment horizontal="center" vertical="center" wrapText="1"/>
    </xf>
    <xf numFmtId="2" fontId="4" fillId="5" borderId="0" xfId="1" applyNumberFormat="1" applyFont="1" applyFill="1" applyAlignment="1">
      <alignment horizontal="center" vertical="center" wrapText="1"/>
    </xf>
    <xf numFmtId="177" fontId="0" fillId="0" borderId="0" xfId="1" applyNumberFormat="1" applyFont="1" applyAlignment="1">
      <alignment wrapText="1"/>
    </xf>
    <xf numFmtId="2" fontId="0" fillId="0" borderId="0" xfId="1" applyNumberFormat="1" applyFont="1" applyAlignment="1">
      <alignment wrapText="1"/>
    </xf>
    <xf numFmtId="0" fontId="10" fillId="0" borderId="0" xfId="1" applyFont="1" applyAlignment="1">
      <alignment wrapText="1"/>
    </xf>
    <xf numFmtId="0" fontId="8" fillId="0" borderId="0" xfId="1" applyFont="1" applyAlignment="1">
      <alignment wrapText="1"/>
    </xf>
    <xf numFmtId="0" fontId="11" fillId="0" borderId="0" xfId="0" applyFont="1"/>
    <xf numFmtId="0" fontId="1" fillId="2" borderId="0" xfId="1" applyFont="1" applyFill="1" applyAlignment="1">
      <alignment horizontal="center" vertical="center"/>
    </xf>
    <xf numFmtId="0" fontId="1" fillId="2" borderId="0" xfId="1" applyFont="1" applyFill="1" applyAlignment="1">
      <alignment horizontal="center" vertical="center" wrapText="1"/>
    </xf>
    <xf numFmtId="0" fontId="3" fillId="4" borderId="0" xfId="1" applyFont="1" applyFill="1" applyAlignment="1">
      <alignment vertical="center" wrapText="1"/>
    </xf>
  </cellXfs>
  <cellStyles count="2">
    <cellStyle name="Normal" xfId="1" xr:uid="{00000000-0005-0000-0000-000000000000}"/>
    <cellStyle name="常规" xfId="0" builtinId="0"/>
  </cellStyles>
  <dxfs count="4">
    <dxf>
      <font>
        <b/>
        <color rgb="FF2F6B2F"/>
      </font>
      <fill>
        <patternFill patternType="solid">
          <bgColor rgb="FFE2F0D9"/>
        </patternFill>
      </fill>
    </dxf>
    <dxf>
      <font>
        <b/>
        <color rgb="FFC00000"/>
      </font>
      <fill>
        <patternFill patternType="solid">
          <bgColor rgb="FFFCE4D6"/>
        </patternFill>
      </fill>
    </dxf>
    <dxf>
      <font>
        <b/>
        <color rgb="FF2F6B2F"/>
      </font>
      <fill>
        <patternFill patternType="solid">
          <bgColor rgb="FFE2F0D9"/>
        </patternFill>
      </fill>
    </dxf>
    <dxf>
      <font>
        <b/>
        <color rgb="FF2F6B2F"/>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zh-CN" altLang="en-US"/>
              <a:t>各文档评测进度与命中率</a:t>
            </a:r>
          </a:p>
        </c:rich>
      </c:tx>
      <c:overlay val="0"/>
    </c:title>
    <c:autoTitleDeleted val="0"/>
    <c:plotArea>
      <c:layout/>
      <c:barChart>
        <c:barDir val="col"/>
        <c:grouping val="clustered"/>
        <c:varyColors val="0"/>
        <c:ser>
          <c:idx val="0"/>
          <c:order val="0"/>
          <c:tx>
            <c:v>题目数</c:v>
          </c:tx>
          <c:invertIfNegative val="1"/>
          <c:cat>
            <c:strRef>
              <c:f>指标看板!$A$17:$A$21</c:f>
              <c:strCache>
                <c:ptCount val="5"/>
                <c:pt idx="0">
                  <c:v>DOC001</c:v>
                </c:pt>
                <c:pt idx="1">
                  <c:v>DOC002</c:v>
                </c:pt>
                <c:pt idx="2">
                  <c:v>DOC003</c:v>
                </c:pt>
                <c:pt idx="3">
                  <c:v>DOC004</c:v>
                </c:pt>
                <c:pt idx="4">
                  <c:v>DOC005</c:v>
                </c:pt>
              </c:strCache>
            </c:strRef>
          </c:cat>
          <c:val>
            <c:numRef>
              <c:f>指标看板!$B$17:$B$21</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0-2D88-45E6-9FFC-395CA5D98048}"/>
            </c:ext>
          </c:extLst>
        </c:ser>
        <c:ser>
          <c:idx val="1"/>
          <c:order val="1"/>
          <c:tx>
            <c:v>已完成</c:v>
          </c:tx>
          <c:invertIfNegative val="1"/>
          <c:cat>
            <c:strRef>
              <c:f>指标看板!$A$17:$A$21</c:f>
              <c:strCache>
                <c:ptCount val="5"/>
                <c:pt idx="0">
                  <c:v>DOC001</c:v>
                </c:pt>
                <c:pt idx="1">
                  <c:v>DOC002</c:v>
                </c:pt>
                <c:pt idx="2">
                  <c:v>DOC003</c:v>
                </c:pt>
                <c:pt idx="3">
                  <c:v>DOC004</c:v>
                </c:pt>
                <c:pt idx="4">
                  <c:v>DOC005</c:v>
                </c:pt>
              </c:strCache>
            </c:strRef>
          </c:cat>
          <c:val>
            <c:numRef>
              <c:f>指标看板!$C$17:$C$21</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1-2D88-45E6-9FFC-395CA5D98048}"/>
            </c:ext>
          </c:extLst>
        </c:ser>
        <c:ser>
          <c:idx val="2"/>
          <c:order val="2"/>
          <c:tx>
            <c:v>Top1命中率</c:v>
          </c:tx>
          <c:invertIfNegative val="1"/>
          <c:cat>
            <c:strRef>
              <c:f>指标看板!$A$17:$A$21</c:f>
              <c:strCache>
                <c:ptCount val="5"/>
                <c:pt idx="0">
                  <c:v>DOC001</c:v>
                </c:pt>
                <c:pt idx="1">
                  <c:v>DOC002</c:v>
                </c:pt>
                <c:pt idx="2">
                  <c:v>DOC003</c:v>
                </c:pt>
                <c:pt idx="3">
                  <c:v>DOC004</c:v>
                </c:pt>
                <c:pt idx="4">
                  <c:v>DOC005</c:v>
                </c:pt>
              </c:strCache>
            </c:strRef>
          </c:cat>
          <c:val>
            <c:numRef>
              <c:f>指标看板!$D$17:$D$21</c:f>
              <c:numCache>
                <c:formatCode>0.0%</c:formatCode>
                <c:ptCount val="5"/>
                <c:pt idx="0">
                  <c:v>1</c:v>
                </c:pt>
                <c:pt idx="1">
                  <c:v>1</c:v>
                </c:pt>
                <c:pt idx="2">
                  <c:v>0.9</c:v>
                </c:pt>
                <c:pt idx="3">
                  <c:v>0.6</c:v>
                </c:pt>
                <c:pt idx="4">
                  <c:v>1</c:v>
                </c:pt>
              </c:numCache>
            </c:numRef>
          </c:val>
          <c:extLst>
            <c:ext xmlns:c16="http://schemas.microsoft.com/office/drawing/2014/chart" uri="{C3380CC4-5D6E-409C-BE32-E72D297353CC}">
              <c16:uniqueId val="{00000002-2D88-45E6-9FFC-395CA5D98048}"/>
            </c:ext>
          </c:extLst>
        </c:ser>
        <c:ser>
          <c:idx val="3"/>
          <c:order val="3"/>
          <c:tx>
            <c:v>Top3命中率</c:v>
          </c:tx>
          <c:invertIfNegative val="1"/>
          <c:cat>
            <c:strRef>
              <c:f>指标看板!$A$17:$A$21</c:f>
              <c:strCache>
                <c:ptCount val="5"/>
                <c:pt idx="0">
                  <c:v>DOC001</c:v>
                </c:pt>
                <c:pt idx="1">
                  <c:v>DOC002</c:v>
                </c:pt>
                <c:pt idx="2">
                  <c:v>DOC003</c:v>
                </c:pt>
                <c:pt idx="3">
                  <c:v>DOC004</c:v>
                </c:pt>
                <c:pt idx="4">
                  <c:v>DOC005</c:v>
                </c:pt>
              </c:strCache>
            </c:strRef>
          </c:cat>
          <c:val>
            <c:numRef>
              <c:f>指标看板!$E$17:$E$21</c:f>
              <c:numCache>
                <c:formatCode>0.0%</c:formatCode>
                <c:ptCount val="5"/>
                <c:pt idx="0">
                  <c:v>1</c:v>
                </c:pt>
                <c:pt idx="1">
                  <c:v>1</c:v>
                </c:pt>
                <c:pt idx="2">
                  <c:v>1</c:v>
                </c:pt>
                <c:pt idx="3">
                  <c:v>1</c:v>
                </c:pt>
                <c:pt idx="4">
                  <c:v>1</c:v>
                </c:pt>
              </c:numCache>
            </c:numRef>
          </c:val>
          <c:extLst>
            <c:ext xmlns:c16="http://schemas.microsoft.com/office/drawing/2014/chart" uri="{C3380CC4-5D6E-409C-BE32-E72D297353CC}">
              <c16:uniqueId val="{00000003-2D88-45E6-9FFC-395CA5D9804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15</xdr:row>
      <xdr:rowOff>0</xdr:rowOff>
    </xdr:from>
    <xdr:to>
      <xdr:col>15</xdr:col>
      <xdr:colOff>0</xdr:colOff>
      <xdr:row>31</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cumentCatalogTable" displayName="DocumentCatalogTable" ref="A2:J7">
  <tableColumns count="10">
    <tableColumn id="1" xr3:uid="{00000000-0010-0000-0000-000001000000}" name="文档ID"/>
    <tableColumn id="2" xr3:uid="{00000000-0010-0000-0000-000002000000}" name="标题"/>
    <tableColumn id="3" xr3:uid="{00000000-0010-0000-0000-000003000000}" name="分类"/>
    <tableColumn id="4" xr3:uid="{00000000-0010-0000-0000-000004000000}" name="发布机构"/>
    <tableColumn id="5" xr3:uid="{00000000-0010-0000-0000-000005000000}" name="发布日期"/>
    <tableColumn id="6" xr3:uid="{00000000-0010-0000-0000-000006000000}" name="文件类型"/>
    <tableColumn id="7" xr3:uid="{00000000-0010-0000-0000-000007000000}" name="来源URL"/>
    <tableColumn id="8" xr3:uid="{00000000-0010-0000-0000-000008000000}" name="本地文件名"/>
    <tableColumn id="9" xr3:uid="{00000000-0010-0000-0000-000009000000}" name="状态"/>
    <tableColumn id="10" xr3:uid="{00000000-0010-0000-0000-00000A000000}" name="处理说明"/>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aluationQuestionsTable" displayName="EvaluationQuestionsTable" ref="A2:J52">
  <tableColumns count="10">
    <tableColumn id="1" xr3:uid="{00000000-0010-0000-0100-000001000000}" name="问题ID"/>
    <tableColumn id="2" xr3:uid="{00000000-0010-0000-0100-000002000000}" name="预期文档"/>
    <tableColumn id="3" xr3:uid="{00000000-0010-0000-0100-000003000000}" name="主题"/>
    <tableColumn id="4" xr3:uid="{00000000-0010-0000-0100-000004000000}" name="难度"/>
    <tableColumn id="5" xr3:uid="{00000000-0010-0000-0100-000005000000}" name="问题类型"/>
    <tableColumn id="6" xr3:uid="{00000000-0010-0000-0100-000006000000}" name="评测问题"/>
    <tableColumn id="7" xr3:uid="{00000000-0010-0000-0100-000007000000}" name="预期定位"/>
    <tableColumn id="8" xr3:uid="{00000000-0010-0000-0100-000008000000}" name="标准答案要点"/>
    <tableColumn id="9" xr3:uid="{00000000-0010-0000-0100-000009000000}" name="状态"/>
    <tableColumn id="10" xr3:uid="{00000000-0010-0000-0100-00000A000000}" name="备注"/>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aluationRecordsTable" displayName="EvaluationRecordsTable" ref="A2:O52">
  <tableColumns count="15">
    <tableColumn id="1" xr3:uid="{00000000-0010-0000-0200-000001000000}" name="问题ID"/>
    <tableColumn id="2" xr3:uid="{00000000-0010-0000-0200-000002000000}" name="评测问题"/>
    <tableColumn id="3" xr3:uid="{00000000-0010-0000-0200-000003000000}" name="预期文档"/>
    <tableColumn id="4" xr3:uid="{00000000-0010-0000-0200-000004000000}" name="预期定位"/>
    <tableColumn id="5" xr3:uid="{00000000-0010-0000-0200-000005000000}" name="实际Top1文档"/>
    <tableColumn id="6" xr3:uid="{00000000-0010-0000-0200-000006000000}" name="实际Top1定位"/>
    <tableColumn id="7" xr3:uid="{00000000-0010-0000-0200-000007000000}" name="Top1命中"/>
    <tableColumn id="8" xr3:uid="{00000000-0010-0000-0200-000008000000}" name="Top3命中"/>
    <tableColumn id="9" xr3:uid="{00000000-0010-0000-0200-000009000000}" name="引用正确"/>
    <tableColumn id="10" xr3:uid="{00000000-0010-0000-0200-00000A000000}" name="回答准确度(0-2)"/>
    <tableColumn id="11" xr3:uid="{00000000-0010-0000-0200-00000B000000}" name="是否幻觉"/>
    <tableColumn id="12" xr3:uid="{00000000-0010-0000-0200-00000C000000}" name="测试状态"/>
    <tableColumn id="13" xr3:uid="{00000000-0010-0000-0200-00000D000000}" name="综合得分"/>
    <tableColumn id="14" xr3:uid="{00000000-0010-0000-0200-00000E000000}" name="测试日期"/>
    <tableColumn id="15" xr3:uid="{00000000-0010-0000-0200-00000F000000}" name="备注"/>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arameterLogTable" displayName="ParameterLogTable" ref="A2:D14">
  <tableColumns count="4">
    <tableColumn id="1" xr3:uid="{00000000-0010-0000-0300-000001000000}" name="参数类别"/>
    <tableColumn id="2" xr3:uid="{00000000-0010-0000-0300-000002000000}" name="参数名称"/>
    <tableColumn id="3" xr3:uid="{00000000-0010-0000-0300-000003000000}" name="当前值"/>
    <tableColumn id="4" xr3:uid="{00000000-0010-0000-0300-00000400000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workbookViewId="0">
      <selection sqref="A1:J1"/>
    </sheetView>
  </sheetViews>
  <sheetFormatPr defaultRowHeight="14"/>
  <cols>
    <col min="1" max="1" width="11" customWidth="1"/>
    <col min="2" max="2" width="34" customWidth="1"/>
    <col min="3" max="3" width="26" customWidth="1"/>
    <col min="4" max="4" width="28" customWidth="1"/>
    <col min="5" max="5" width="13" customWidth="1"/>
    <col min="6" max="6" width="14" customWidth="1"/>
    <col min="7" max="7" width="42" customWidth="1"/>
    <col min="8" max="8" width="38" customWidth="1"/>
    <col min="9" max="9" width="14" customWidth="1"/>
    <col min="10" max="10" width="48" customWidth="1"/>
  </cols>
  <sheetData>
    <row r="1" spans="1:10" ht="20">
      <c r="A1" s="12" t="s">
        <v>0</v>
      </c>
      <c r="B1" s="12"/>
      <c r="C1" s="12"/>
      <c r="D1" s="12"/>
      <c r="E1" s="12"/>
      <c r="F1" s="12"/>
      <c r="G1" s="12"/>
      <c r="H1" s="12"/>
      <c r="I1" s="12"/>
      <c r="J1" s="12"/>
    </row>
    <row r="2" spans="1:10">
      <c r="A2" s="1" t="s">
        <v>1</v>
      </c>
      <c r="B2" s="1" t="s">
        <v>2</v>
      </c>
      <c r="C2" s="1" t="s">
        <v>3</v>
      </c>
      <c r="D2" s="1" t="s">
        <v>4</v>
      </c>
      <c r="E2" s="1" t="s">
        <v>5</v>
      </c>
      <c r="F2" s="1" t="s">
        <v>6</v>
      </c>
      <c r="G2" s="1" t="s">
        <v>7</v>
      </c>
      <c r="H2" s="1" t="s">
        <v>8</v>
      </c>
      <c r="I2" s="1" t="s">
        <v>9</v>
      </c>
      <c r="J2" s="1" t="s">
        <v>10</v>
      </c>
    </row>
    <row r="3" spans="1:10" ht="28">
      <c r="A3" s="2" t="s">
        <v>11</v>
      </c>
      <c r="B3" s="2" t="s">
        <v>12</v>
      </c>
      <c r="C3" s="2" t="s">
        <v>13</v>
      </c>
      <c r="D3" s="2" t="s">
        <v>14</v>
      </c>
      <c r="E3" s="3" t="s">
        <v>15</v>
      </c>
      <c r="F3" s="2" t="s">
        <v>16</v>
      </c>
      <c r="G3" s="2" t="s">
        <v>17</v>
      </c>
      <c r="H3" s="2" t="s">
        <v>18</v>
      </c>
      <c r="I3" s="2" t="s">
        <v>19</v>
      </c>
      <c r="J3" s="2" t="s">
        <v>20</v>
      </c>
    </row>
    <row r="4" spans="1:10" ht="28">
      <c r="A4" s="2" t="s">
        <v>21</v>
      </c>
      <c r="B4" s="2" t="s">
        <v>22</v>
      </c>
      <c r="C4" s="2" t="s">
        <v>23</v>
      </c>
      <c r="D4" s="2" t="s">
        <v>14</v>
      </c>
      <c r="E4" s="3" t="s">
        <v>15</v>
      </c>
      <c r="F4" s="2" t="s">
        <v>16</v>
      </c>
      <c r="G4" s="2" t="s">
        <v>24</v>
      </c>
      <c r="H4" s="2" t="s">
        <v>25</v>
      </c>
      <c r="I4" s="2" t="s">
        <v>19</v>
      </c>
      <c r="J4" s="2" t="s">
        <v>26</v>
      </c>
    </row>
    <row r="5" spans="1:10" ht="28">
      <c r="A5" s="2" t="s">
        <v>27</v>
      </c>
      <c r="B5" s="2" t="s">
        <v>28</v>
      </c>
      <c r="C5" s="2" t="s">
        <v>13</v>
      </c>
      <c r="D5" s="2" t="s">
        <v>29</v>
      </c>
      <c r="E5" s="3" t="s">
        <v>30</v>
      </c>
      <c r="F5" s="2" t="s">
        <v>16</v>
      </c>
      <c r="G5" s="2" t="s">
        <v>31</v>
      </c>
      <c r="H5" s="2" t="s">
        <v>32</v>
      </c>
      <c r="I5" s="2" t="s">
        <v>19</v>
      </c>
      <c r="J5" s="2" t="s">
        <v>26</v>
      </c>
    </row>
    <row r="6" spans="1:10" ht="28">
      <c r="A6" s="2" t="s">
        <v>33</v>
      </c>
      <c r="B6" s="2" t="s">
        <v>34</v>
      </c>
      <c r="C6" s="2" t="s">
        <v>35</v>
      </c>
      <c r="D6" s="2" t="s">
        <v>36</v>
      </c>
      <c r="E6" s="3" t="s">
        <v>37</v>
      </c>
      <c r="F6" s="2" t="s">
        <v>38</v>
      </c>
      <c r="G6" s="2" t="s">
        <v>39</v>
      </c>
      <c r="H6" s="2" t="s">
        <v>40</v>
      </c>
      <c r="I6" s="2" t="s">
        <v>19</v>
      </c>
      <c r="J6" s="2" t="s">
        <v>41</v>
      </c>
    </row>
    <row r="7" spans="1:10" ht="28">
      <c r="A7" s="2" t="s">
        <v>42</v>
      </c>
      <c r="B7" s="2" t="s">
        <v>43</v>
      </c>
      <c r="C7" s="2" t="s">
        <v>44</v>
      </c>
      <c r="D7" s="2" t="s">
        <v>29</v>
      </c>
      <c r="E7" s="3" t="s">
        <v>45</v>
      </c>
      <c r="F7" s="2" t="s">
        <v>16</v>
      </c>
      <c r="G7" s="2" t="s">
        <v>46</v>
      </c>
      <c r="H7" s="2" t="s">
        <v>47</v>
      </c>
      <c r="I7" s="2" t="s">
        <v>19</v>
      </c>
      <c r="J7" s="2" t="s">
        <v>48</v>
      </c>
    </row>
  </sheetData>
  <mergeCells count="1">
    <mergeCell ref="A1:J1"/>
  </mergeCells>
  <phoneticPr fontId="6" type="noConversion"/>
  <conditionalFormatting sqref="I3:I7">
    <cfRule type="expression" dxfId="3" priority="1">
      <formula>I3="Validated"</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2"/>
  <sheetViews>
    <sheetView topLeftCell="F31" zoomScale="70" zoomScaleNormal="70" workbookViewId="0">
      <selection activeCell="F51" sqref="F51"/>
    </sheetView>
  </sheetViews>
  <sheetFormatPr defaultRowHeight="14"/>
  <cols>
    <col min="1" max="1" width="10" customWidth="1"/>
    <col min="2" max="2" width="12" customWidth="1"/>
    <col min="3" max="3" width="18" customWidth="1"/>
    <col min="4" max="4" width="10" customWidth="1"/>
    <col min="5" max="5" width="12" customWidth="1"/>
    <col min="6" max="6" width="48" customWidth="1"/>
    <col min="7" max="7" width="24" customWidth="1"/>
    <col min="8" max="8" width="58" customWidth="1"/>
    <col min="9" max="9" width="12" customWidth="1"/>
    <col min="10" max="10" width="26" customWidth="1"/>
  </cols>
  <sheetData>
    <row r="1" spans="1:10" ht="20">
      <c r="A1" s="12" t="s">
        <v>49</v>
      </c>
      <c r="B1" s="12"/>
      <c r="C1" s="12"/>
      <c r="D1" s="12"/>
      <c r="E1" s="12"/>
      <c r="F1" s="12"/>
      <c r="G1" s="12"/>
      <c r="H1" s="12"/>
      <c r="I1" s="12"/>
      <c r="J1" s="12"/>
    </row>
    <row r="2" spans="1:10">
      <c r="A2" s="1" t="s">
        <v>50</v>
      </c>
      <c r="B2" s="1" t="s">
        <v>51</v>
      </c>
      <c r="C2" s="1" t="s">
        <v>52</v>
      </c>
      <c r="D2" s="1" t="s">
        <v>53</v>
      </c>
      <c r="E2" s="1" t="s">
        <v>54</v>
      </c>
      <c r="F2" s="1" t="s">
        <v>55</v>
      </c>
      <c r="G2" s="1" t="s">
        <v>56</v>
      </c>
      <c r="H2" s="1" t="s">
        <v>57</v>
      </c>
      <c r="I2" s="1" t="s">
        <v>9</v>
      </c>
      <c r="J2" s="1" t="s">
        <v>58</v>
      </c>
    </row>
    <row r="3" spans="1:10" ht="28">
      <c r="A3" s="2" t="s">
        <v>59</v>
      </c>
      <c r="B3" s="2" t="s">
        <v>11</v>
      </c>
      <c r="C3" s="2" t="s">
        <v>60</v>
      </c>
      <c r="D3" s="2" t="s">
        <v>61</v>
      </c>
      <c r="E3" s="2" t="s">
        <v>62</v>
      </c>
      <c r="F3" s="2" t="s">
        <v>63</v>
      </c>
      <c r="G3" s="2" t="s">
        <v>64</v>
      </c>
      <c r="H3" s="2" t="s">
        <v>65</v>
      </c>
      <c r="I3" s="2" t="s">
        <v>66</v>
      </c>
      <c r="J3" s="2"/>
    </row>
    <row r="4" spans="1:10" ht="43.5">
      <c r="A4" s="2" t="s">
        <v>67</v>
      </c>
      <c r="B4" s="2" t="s">
        <v>11</v>
      </c>
      <c r="C4" s="2" t="s">
        <v>68</v>
      </c>
      <c r="D4" s="2" t="s">
        <v>61</v>
      </c>
      <c r="E4" s="2" t="s">
        <v>69</v>
      </c>
      <c r="F4" s="9" t="s">
        <v>389</v>
      </c>
      <c r="G4" s="2" t="s">
        <v>71</v>
      </c>
      <c r="H4" s="2" t="s">
        <v>72</v>
      </c>
      <c r="I4" s="2" t="s">
        <v>66</v>
      </c>
      <c r="J4" s="2"/>
    </row>
    <row r="5" spans="1:10" ht="42">
      <c r="A5" s="2" t="s">
        <v>73</v>
      </c>
      <c r="B5" s="2" t="s">
        <v>11</v>
      </c>
      <c r="C5" s="2" t="s">
        <v>74</v>
      </c>
      <c r="D5" s="2" t="s">
        <v>75</v>
      </c>
      <c r="E5" s="2" t="s">
        <v>76</v>
      </c>
      <c r="F5" s="2" t="s">
        <v>77</v>
      </c>
      <c r="G5" s="2" t="s">
        <v>78</v>
      </c>
      <c r="H5" s="2" t="s">
        <v>79</v>
      </c>
      <c r="I5" s="2" t="s">
        <v>66</v>
      </c>
      <c r="J5" s="2"/>
    </row>
    <row r="6" spans="1:10" ht="28">
      <c r="A6" s="2" t="s">
        <v>80</v>
      </c>
      <c r="B6" s="2" t="s">
        <v>11</v>
      </c>
      <c r="C6" s="2" t="s">
        <v>81</v>
      </c>
      <c r="D6" s="2" t="s">
        <v>61</v>
      </c>
      <c r="E6" s="2" t="s">
        <v>82</v>
      </c>
      <c r="F6" s="2" t="s">
        <v>83</v>
      </c>
      <c r="G6" s="2" t="s">
        <v>84</v>
      </c>
      <c r="H6" s="2" t="s">
        <v>85</v>
      </c>
      <c r="I6" s="2" t="s">
        <v>66</v>
      </c>
      <c r="J6" s="2"/>
    </row>
    <row r="7" spans="1:10" ht="28">
      <c r="A7" s="2" t="s">
        <v>86</v>
      </c>
      <c r="B7" s="2" t="s">
        <v>11</v>
      </c>
      <c r="C7" s="2" t="s">
        <v>87</v>
      </c>
      <c r="D7" s="2" t="s">
        <v>75</v>
      </c>
      <c r="E7" s="2" t="s">
        <v>88</v>
      </c>
      <c r="F7" s="2" t="s">
        <v>89</v>
      </c>
      <c r="G7" s="2" t="s">
        <v>90</v>
      </c>
      <c r="H7" s="2" t="s">
        <v>91</v>
      </c>
      <c r="I7" s="2" t="s">
        <v>66</v>
      </c>
      <c r="J7" s="2"/>
    </row>
    <row r="8" spans="1:10" ht="28">
      <c r="A8" s="2" t="s">
        <v>92</v>
      </c>
      <c r="B8" s="2" t="s">
        <v>11</v>
      </c>
      <c r="C8" s="2" t="s">
        <v>93</v>
      </c>
      <c r="D8" s="2" t="s">
        <v>75</v>
      </c>
      <c r="E8" s="2" t="s">
        <v>94</v>
      </c>
      <c r="F8" s="2" t="s">
        <v>95</v>
      </c>
      <c r="G8" s="2" t="s">
        <v>90</v>
      </c>
      <c r="H8" s="2" t="s">
        <v>96</v>
      </c>
      <c r="I8" s="2" t="s">
        <v>66</v>
      </c>
      <c r="J8" s="2"/>
    </row>
    <row r="9" spans="1:10" ht="28">
      <c r="A9" s="2" t="s">
        <v>97</v>
      </c>
      <c r="B9" s="2" t="s">
        <v>11</v>
      </c>
      <c r="C9" s="2" t="s">
        <v>98</v>
      </c>
      <c r="D9" s="2" t="s">
        <v>75</v>
      </c>
      <c r="E9" s="2" t="s">
        <v>69</v>
      </c>
      <c r="F9" s="2" t="s">
        <v>99</v>
      </c>
      <c r="G9" s="2" t="s">
        <v>90</v>
      </c>
      <c r="H9" s="2" t="s">
        <v>100</v>
      </c>
      <c r="I9" s="2" t="s">
        <v>66</v>
      </c>
      <c r="J9" s="2"/>
    </row>
    <row r="10" spans="1:10" ht="42">
      <c r="A10" s="2" t="s">
        <v>101</v>
      </c>
      <c r="B10" s="2" t="s">
        <v>11</v>
      </c>
      <c r="C10" s="2" t="s">
        <v>102</v>
      </c>
      <c r="D10" s="2" t="s">
        <v>103</v>
      </c>
      <c r="E10" s="2" t="s">
        <v>104</v>
      </c>
      <c r="F10" s="2" t="s">
        <v>105</v>
      </c>
      <c r="G10" s="2" t="s">
        <v>106</v>
      </c>
      <c r="H10" s="2" t="s">
        <v>107</v>
      </c>
      <c r="I10" s="2" t="s">
        <v>66</v>
      </c>
      <c r="J10" s="2"/>
    </row>
    <row r="11" spans="1:10" ht="28">
      <c r="A11" s="2" t="s">
        <v>108</v>
      </c>
      <c r="B11" s="2" t="s">
        <v>11</v>
      </c>
      <c r="C11" s="2" t="s">
        <v>109</v>
      </c>
      <c r="D11" s="2" t="s">
        <v>75</v>
      </c>
      <c r="E11" s="2" t="s">
        <v>110</v>
      </c>
      <c r="F11" s="2" t="s">
        <v>111</v>
      </c>
      <c r="G11" s="2" t="s">
        <v>112</v>
      </c>
      <c r="H11" s="2" t="s">
        <v>113</v>
      </c>
      <c r="I11" s="2" t="s">
        <v>66</v>
      </c>
      <c r="J11" s="2"/>
    </row>
    <row r="12" spans="1:10" ht="28">
      <c r="A12" s="2" t="s">
        <v>114</v>
      </c>
      <c r="B12" s="2" t="s">
        <v>11</v>
      </c>
      <c r="C12" s="2" t="s">
        <v>115</v>
      </c>
      <c r="D12" s="2" t="s">
        <v>103</v>
      </c>
      <c r="E12" s="2" t="s">
        <v>116</v>
      </c>
      <c r="F12" s="2" t="s">
        <v>117</v>
      </c>
      <c r="G12" s="2" t="s">
        <v>118</v>
      </c>
      <c r="H12" s="2" t="s">
        <v>119</v>
      </c>
      <c r="I12" s="2" t="s">
        <v>66</v>
      </c>
      <c r="J12" s="2"/>
    </row>
    <row r="13" spans="1:10" ht="28">
      <c r="A13" s="2" t="s">
        <v>120</v>
      </c>
      <c r="B13" s="2" t="s">
        <v>21</v>
      </c>
      <c r="C13" s="2" t="s">
        <v>60</v>
      </c>
      <c r="D13" s="2" t="s">
        <v>61</v>
      </c>
      <c r="E13" s="2" t="s">
        <v>62</v>
      </c>
      <c r="F13" s="2" t="s">
        <v>121</v>
      </c>
      <c r="G13" s="2" t="s">
        <v>64</v>
      </c>
      <c r="H13" s="2" t="s">
        <v>122</v>
      </c>
      <c r="I13" s="2" t="s">
        <v>66</v>
      </c>
      <c r="J13" s="2"/>
    </row>
    <row r="14" spans="1:10" ht="28">
      <c r="A14" s="2" t="s">
        <v>123</v>
      </c>
      <c r="B14" s="2" t="s">
        <v>21</v>
      </c>
      <c r="C14" s="2" t="s">
        <v>124</v>
      </c>
      <c r="D14" s="2" t="s">
        <v>61</v>
      </c>
      <c r="E14" s="2" t="s">
        <v>125</v>
      </c>
      <c r="F14" s="2" t="s">
        <v>126</v>
      </c>
      <c r="G14" s="2" t="s">
        <v>127</v>
      </c>
      <c r="H14" s="2" t="s">
        <v>128</v>
      </c>
      <c r="I14" s="2" t="s">
        <v>66</v>
      </c>
      <c r="J14" s="2"/>
    </row>
    <row r="15" spans="1:10" ht="28">
      <c r="A15" s="2" t="s">
        <v>129</v>
      </c>
      <c r="B15" s="2" t="s">
        <v>21</v>
      </c>
      <c r="C15" s="2" t="s">
        <v>130</v>
      </c>
      <c r="D15" s="2" t="s">
        <v>75</v>
      </c>
      <c r="E15" s="2" t="s">
        <v>88</v>
      </c>
      <c r="F15" s="2" t="s">
        <v>131</v>
      </c>
      <c r="G15" s="2" t="s">
        <v>132</v>
      </c>
      <c r="H15" s="2" t="s">
        <v>133</v>
      </c>
      <c r="I15" s="2" t="s">
        <v>66</v>
      </c>
      <c r="J15" s="2"/>
    </row>
    <row r="16" spans="1:10" ht="28">
      <c r="A16" s="2" t="s">
        <v>134</v>
      </c>
      <c r="B16" s="2" t="s">
        <v>21</v>
      </c>
      <c r="C16" s="2" t="s">
        <v>135</v>
      </c>
      <c r="D16" s="2" t="s">
        <v>75</v>
      </c>
      <c r="E16" s="2" t="s">
        <v>110</v>
      </c>
      <c r="F16" s="2" t="s">
        <v>136</v>
      </c>
      <c r="G16" s="2" t="s">
        <v>137</v>
      </c>
      <c r="H16" s="2" t="s">
        <v>138</v>
      </c>
      <c r="I16" s="2" t="s">
        <v>66</v>
      </c>
      <c r="J16" s="2"/>
    </row>
    <row r="17" spans="1:10" ht="28">
      <c r="A17" s="2" t="s">
        <v>139</v>
      </c>
      <c r="B17" s="2" t="s">
        <v>21</v>
      </c>
      <c r="C17" s="2" t="s">
        <v>140</v>
      </c>
      <c r="D17" s="2" t="s">
        <v>75</v>
      </c>
      <c r="E17" s="2" t="s">
        <v>82</v>
      </c>
      <c r="F17" s="2" t="s">
        <v>141</v>
      </c>
      <c r="G17" s="2" t="s">
        <v>142</v>
      </c>
      <c r="H17" s="2" t="s">
        <v>143</v>
      </c>
      <c r="I17" s="2" t="s">
        <v>66</v>
      </c>
      <c r="J17" s="2"/>
    </row>
    <row r="18" spans="1:10" ht="28">
      <c r="A18" s="2" t="s">
        <v>144</v>
      </c>
      <c r="B18" s="2" t="s">
        <v>21</v>
      </c>
      <c r="C18" s="2" t="s">
        <v>145</v>
      </c>
      <c r="D18" s="2" t="s">
        <v>103</v>
      </c>
      <c r="E18" s="2" t="s">
        <v>146</v>
      </c>
      <c r="F18" s="2" t="s">
        <v>147</v>
      </c>
      <c r="G18" s="2" t="s">
        <v>148</v>
      </c>
      <c r="H18" s="2" t="s">
        <v>149</v>
      </c>
      <c r="I18" s="2" t="s">
        <v>66</v>
      </c>
      <c r="J18" s="2"/>
    </row>
    <row r="19" spans="1:10" ht="42">
      <c r="A19" s="2" t="s">
        <v>150</v>
      </c>
      <c r="B19" s="2" t="s">
        <v>21</v>
      </c>
      <c r="C19" s="2" t="s">
        <v>151</v>
      </c>
      <c r="D19" s="2" t="s">
        <v>75</v>
      </c>
      <c r="E19" s="2" t="s">
        <v>94</v>
      </c>
      <c r="F19" s="2" t="s">
        <v>152</v>
      </c>
      <c r="G19" s="2" t="s">
        <v>153</v>
      </c>
      <c r="H19" s="2" t="s">
        <v>154</v>
      </c>
      <c r="I19" s="2" t="s">
        <v>66</v>
      </c>
      <c r="J19" s="2"/>
    </row>
    <row r="20" spans="1:10" ht="28">
      <c r="A20" s="2" t="s">
        <v>155</v>
      </c>
      <c r="B20" s="2" t="s">
        <v>21</v>
      </c>
      <c r="C20" s="2" t="s">
        <v>156</v>
      </c>
      <c r="D20" s="2" t="s">
        <v>75</v>
      </c>
      <c r="E20" s="2" t="s">
        <v>110</v>
      </c>
      <c r="F20" s="2" t="s">
        <v>157</v>
      </c>
      <c r="G20" s="2" t="s">
        <v>158</v>
      </c>
      <c r="H20" s="2" t="s">
        <v>159</v>
      </c>
      <c r="I20" s="2" t="s">
        <v>66</v>
      </c>
      <c r="J20" s="2"/>
    </row>
    <row r="21" spans="1:10" ht="42">
      <c r="A21" s="2" t="s">
        <v>160</v>
      </c>
      <c r="B21" s="2" t="s">
        <v>21</v>
      </c>
      <c r="C21" s="2" t="s">
        <v>161</v>
      </c>
      <c r="D21" s="2" t="s">
        <v>103</v>
      </c>
      <c r="E21" s="2" t="s">
        <v>162</v>
      </c>
      <c r="F21" s="2" t="s">
        <v>163</v>
      </c>
      <c r="G21" s="2" t="s">
        <v>161</v>
      </c>
      <c r="H21" s="2" t="s">
        <v>164</v>
      </c>
      <c r="I21" s="2" t="s">
        <v>66</v>
      </c>
      <c r="J21" s="2"/>
    </row>
    <row r="22" spans="1:10" ht="42">
      <c r="A22" s="2" t="s">
        <v>165</v>
      </c>
      <c r="B22" s="2" t="s">
        <v>21</v>
      </c>
      <c r="C22" s="2" t="s">
        <v>166</v>
      </c>
      <c r="D22" s="2" t="s">
        <v>103</v>
      </c>
      <c r="E22" s="2" t="s">
        <v>167</v>
      </c>
      <c r="F22" s="2" t="s">
        <v>168</v>
      </c>
      <c r="G22" s="2" t="s">
        <v>169</v>
      </c>
      <c r="H22" s="2" t="s">
        <v>170</v>
      </c>
      <c r="I22" s="2" t="s">
        <v>66</v>
      </c>
      <c r="J22" s="2"/>
    </row>
    <row r="23" spans="1:10" ht="28">
      <c r="A23" s="2" t="s">
        <v>171</v>
      </c>
      <c r="B23" s="2" t="s">
        <v>27</v>
      </c>
      <c r="C23" s="2" t="s">
        <v>172</v>
      </c>
      <c r="D23" s="2" t="s">
        <v>61</v>
      </c>
      <c r="E23" s="2" t="s">
        <v>94</v>
      </c>
      <c r="F23" s="2" t="s">
        <v>173</v>
      </c>
      <c r="G23" s="2" t="s">
        <v>174</v>
      </c>
      <c r="H23" s="2" t="s">
        <v>175</v>
      </c>
      <c r="I23" s="2" t="s">
        <v>66</v>
      </c>
      <c r="J23" s="2"/>
    </row>
    <row r="24" spans="1:10" ht="49.5">
      <c r="A24" s="2" t="s">
        <v>176</v>
      </c>
      <c r="B24" s="2" t="s">
        <v>27</v>
      </c>
      <c r="C24" s="2" t="s">
        <v>177</v>
      </c>
      <c r="D24" s="2" t="s">
        <v>75</v>
      </c>
      <c r="E24" s="2" t="s">
        <v>94</v>
      </c>
      <c r="F24" s="2" t="s">
        <v>178</v>
      </c>
      <c r="G24" s="2" t="s">
        <v>179</v>
      </c>
      <c r="H24" s="10" t="s">
        <v>393</v>
      </c>
      <c r="I24" s="2" t="s">
        <v>66</v>
      </c>
      <c r="J24" s="2"/>
    </row>
    <row r="25" spans="1:10" ht="28">
      <c r="A25" s="2" t="s">
        <v>180</v>
      </c>
      <c r="B25" s="2" t="s">
        <v>27</v>
      </c>
      <c r="C25" s="2" t="s">
        <v>181</v>
      </c>
      <c r="D25" s="2" t="s">
        <v>75</v>
      </c>
      <c r="E25" s="2" t="s">
        <v>162</v>
      </c>
      <c r="F25" s="2" t="s">
        <v>182</v>
      </c>
      <c r="G25" s="2" t="s">
        <v>183</v>
      </c>
      <c r="H25" s="2" t="s">
        <v>184</v>
      </c>
      <c r="I25" s="2" t="s">
        <v>66</v>
      </c>
      <c r="J25" s="2"/>
    </row>
    <row r="26" spans="1:10" ht="28">
      <c r="A26" s="2" t="s">
        <v>185</v>
      </c>
      <c r="B26" s="2" t="s">
        <v>27</v>
      </c>
      <c r="C26" s="2" t="s">
        <v>102</v>
      </c>
      <c r="D26" s="2" t="s">
        <v>75</v>
      </c>
      <c r="E26" s="2" t="s">
        <v>94</v>
      </c>
      <c r="F26" s="2" t="s">
        <v>186</v>
      </c>
      <c r="G26" s="2" t="s">
        <v>187</v>
      </c>
      <c r="H26" s="2" t="s">
        <v>188</v>
      </c>
      <c r="I26" s="2" t="s">
        <v>66</v>
      </c>
      <c r="J26" s="2"/>
    </row>
    <row r="27" spans="1:10" ht="28">
      <c r="A27" s="2" t="s">
        <v>189</v>
      </c>
      <c r="B27" s="2" t="s">
        <v>27</v>
      </c>
      <c r="C27" s="2" t="s">
        <v>190</v>
      </c>
      <c r="D27" s="2" t="s">
        <v>75</v>
      </c>
      <c r="E27" s="2" t="s">
        <v>167</v>
      </c>
      <c r="F27" s="2" t="s">
        <v>191</v>
      </c>
      <c r="G27" s="2" t="s">
        <v>192</v>
      </c>
      <c r="H27" s="2" t="s">
        <v>193</v>
      </c>
      <c r="I27" s="2" t="s">
        <v>66</v>
      </c>
      <c r="J27" s="2"/>
    </row>
    <row r="28" spans="1:10" ht="28">
      <c r="A28" s="2" t="s">
        <v>194</v>
      </c>
      <c r="B28" s="2" t="s">
        <v>27</v>
      </c>
      <c r="C28" s="2" t="s">
        <v>195</v>
      </c>
      <c r="D28" s="2" t="s">
        <v>75</v>
      </c>
      <c r="E28" s="2" t="s">
        <v>82</v>
      </c>
      <c r="F28" s="2" t="s">
        <v>196</v>
      </c>
      <c r="G28" s="2" t="s">
        <v>197</v>
      </c>
      <c r="H28" s="2" t="s">
        <v>198</v>
      </c>
      <c r="I28" s="2" t="s">
        <v>66</v>
      </c>
      <c r="J28" s="2"/>
    </row>
    <row r="29" spans="1:10" ht="28">
      <c r="A29" s="2" t="s">
        <v>199</v>
      </c>
      <c r="B29" s="2" t="s">
        <v>27</v>
      </c>
      <c r="C29" s="2" t="s">
        <v>87</v>
      </c>
      <c r="D29" s="2" t="s">
        <v>103</v>
      </c>
      <c r="E29" s="2" t="s">
        <v>200</v>
      </c>
      <c r="F29" s="2" t="s">
        <v>201</v>
      </c>
      <c r="G29" s="2" t="s">
        <v>202</v>
      </c>
      <c r="H29" s="2" t="s">
        <v>203</v>
      </c>
      <c r="I29" s="2" t="s">
        <v>66</v>
      </c>
      <c r="J29" s="2"/>
    </row>
    <row r="30" spans="1:10" ht="42">
      <c r="A30" s="2" t="s">
        <v>204</v>
      </c>
      <c r="B30" s="2" t="s">
        <v>27</v>
      </c>
      <c r="C30" s="2" t="s">
        <v>109</v>
      </c>
      <c r="D30" s="2" t="s">
        <v>103</v>
      </c>
      <c r="E30" s="2" t="s">
        <v>146</v>
      </c>
      <c r="F30" s="2" t="s">
        <v>205</v>
      </c>
      <c r="G30" s="2" t="s">
        <v>206</v>
      </c>
      <c r="H30" s="2" t="s">
        <v>207</v>
      </c>
      <c r="I30" s="2" t="s">
        <v>66</v>
      </c>
      <c r="J30" s="2"/>
    </row>
    <row r="31" spans="1:10" ht="33">
      <c r="A31" s="2" t="s">
        <v>208</v>
      </c>
      <c r="B31" s="2" t="s">
        <v>27</v>
      </c>
      <c r="C31" s="2" t="s">
        <v>209</v>
      </c>
      <c r="D31" s="2" t="s">
        <v>75</v>
      </c>
      <c r="E31" s="2" t="s">
        <v>94</v>
      </c>
      <c r="F31" s="2" t="s">
        <v>210</v>
      </c>
      <c r="G31" s="2" t="s">
        <v>211</v>
      </c>
      <c r="H31" s="10" t="s">
        <v>394</v>
      </c>
      <c r="I31" s="2" t="s">
        <v>66</v>
      </c>
      <c r="J31" s="2"/>
    </row>
    <row r="32" spans="1:10" ht="28">
      <c r="A32" s="2" t="s">
        <v>212</v>
      </c>
      <c r="B32" s="2" t="s">
        <v>27</v>
      </c>
      <c r="C32" s="2" t="s">
        <v>213</v>
      </c>
      <c r="D32" s="2" t="s">
        <v>75</v>
      </c>
      <c r="E32" s="2" t="s">
        <v>94</v>
      </c>
      <c r="F32" s="2" t="s">
        <v>214</v>
      </c>
      <c r="G32" s="2" t="s">
        <v>215</v>
      </c>
      <c r="H32" s="2" t="s">
        <v>216</v>
      </c>
      <c r="I32" s="2" t="s">
        <v>66</v>
      </c>
      <c r="J32" s="2"/>
    </row>
    <row r="33" spans="1:10" ht="28">
      <c r="A33" s="2" t="s">
        <v>217</v>
      </c>
      <c r="B33" s="2" t="s">
        <v>33</v>
      </c>
      <c r="C33" s="2" t="s">
        <v>218</v>
      </c>
      <c r="D33" s="2" t="s">
        <v>75</v>
      </c>
      <c r="E33" s="2" t="s">
        <v>219</v>
      </c>
      <c r="F33" s="2" t="s">
        <v>220</v>
      </c>
      <c r="G33" s="2" t="s">
        <v>221</v>
      </c>
      <c r="H33" s="2" t="s">
        <v>222</v>
      </c>
      <c r="I33" s="2" t="s">
        <v>66</v>
      </c>
      <c r="J33" s="2"/>
    </row>
    <row r="34" spans="1:10" ht="28">
      <c r="A34" s="2" t="s">
        <v>223</v>
      </c>
      <c r="B34" s="2" t="s">
        <v>33</v>
      </c>
      <c r="C34" s="2" t="s">
        <v>224</v>
      </c>
      <c r="D34" s="2" t="s">
        <v>61</v>
      </c>
      <c r="E34" s="2" t="s">
        <v>219</v>
      </c>
      <c r="F34" s="2" t="s">
        <v>225</v>
      </c>
      <c r="G34" s="2" t="s">
        <v>226</v>
      </c>
      <c r="H34" s="2" t="s">
        <v>227</v>
      </c>
      <c r="I34" s="2" t="s">
        <v>66</v>
      </c>
      <c r="J34" s="2"/>
    </row>
    <row r="35" spans="1:10" ht="28">
      <c r="A35" s="2" t="s">
        <v>228</v>
      </c>
      <c r="B35" s="2" t="s">
        <v>33</v>
      </c>
      <c r="C35" s="2" t="s">
        <v>229</v>
      </c>
      <c r="D35" s="2" t="s">
        <v>75</v>
      </c>
      <c r="E35" s="2" t="s">
        <v>219</v>
      </c>
      <c r="F35" s="2" t="s">
        <v>230</v>
      </c>
      <c r="G35" s="2" t="s">
        <v>231</v>
      </c>
      <c r="H35" s="2" t="s">
        <v>232</v>
      </c>
      <c r="I35" s="2" t="s">
        <v>66</v>
      </c>
      <c r="J35" s="2"/>
    </row>
    <row r="36" spans="1:10" ht="28">
      <c r="A36" s="2" t="s">
        <v>233</v>
      </c>
      <c r="B36" s="2" t="s">
        <v>33</v>
      </c>
      <c r="C36" s="2" t="s">
        <v>234</v>
      </c>
      <c r="D36" s="2" t="s">
        <v>103</v>
      </c>
      <c r="E36" s="2" t="s">
        <v>219</v>
      </c>
      <c r="F36" s="2" t="s">
        <v>235</v>
      </c>
      <c r="G36" s="2" t="s">
        <v>236</v>
      </c>
      <c r="H36" s="2" t="s">
        <v>237</v>
      </c>
      <c r="I36" s="2" t="s">
        <v>66</v>
      </c>
      <c r="J36" s="2"/>
    </row>
    <row r="37" spans="1:10" ht="28">
      <c r="A37" s="2" t="s">
        <v>238</v>
      </c>
      <c r="B37" s="2" t="s">
        <v>33</v>
      </c>
      <c r="C37" s="2" t="s">
        <v>190</v>
      </c>
      <c r="D37" s="2" t="s">
        <v>75</v>
      </c>
      <c r="E37" s="2" t="s">
        <v>219</v>
      </c>
      <c r="F37" s="2" t="s">
        <v>239</v>
      </c>
      <c r="G37" s="2" t="s">
        <v>240</v>
      </c>
      <c r="H37" s="2" t="s">
        <v>241</v>
      </c>
      <c r="I37" s="2" t="s">
        <v>66</v>
      </c>
      <c r="J37" s="2"/>
    </row>
    <row r="38" spans="1:10" ht="28">
      <c r="A38" s="2" t="s">
        <v>242</v>
      </c>
      <c r="B38" s="2" t="s">
        <v>33</v>
      </c>
      <c r="C38" s="2" t="s">
        <v>243</v>
      </c>
      <c r="D38" s="2" t="s">
        <v>103</v>
      </c>
      <c r="E38" s="2" t="s">
        <v>219</v>
      </c>
      <c r="F38" s="2" t="s">
        <v>244</v>
      </c>
      <c r="G38" s="2" t="s">
        <v>245</v>
      </c>
      <c r="H38" s="2" t="s">
        <v>246</v>
      </c>
      <c r="I38" s="2" t="s">
        <v>66</v>
      </c>
      <c r="J38" s="2"/>
    </row>
    <row r="39" spans="1:10" ht="28">
      <c r="A39" s="2" t="s">
        <v>247</v>
      </c>
      <c r="B39" s="2" t="s">
        <v>33</v>
      </c>
      <c r="C39" s="2" t="s">
        <v>195</v>
      </c>
      <c r="D39" s="2" t="s">
        <v>75</v>
      </c>
      <c r="E39" s="2" t="s">
        <v>219</v>
      </c>
      <c r="F39" s="2" t="s">
        <v>248</v>
      </c>
      <c r="G39" s="2" t="s">
        <v>249</v>
      </c>
      <c r="H39" s="2" t="s">
        <v>250</v>
      </c>
      <c r="I39" s="2" t="s">
        <v>66</v>
      </c>
      <c r="J39" s="2"/>
    </row>
    <row r="40" spans="1:10" ht="28">
      <c r="A40" s="2" t="s">
        <v>251</v>
      </c>
      <c r="B40" s="2" t="s">
        <v>33</v>
      </c>
      <c r="C40" s="2" t="s">
        <v>109</v>
      </c>
      <c r="D40" s="2" t="s">
        <v>61</v>
      </c>
      <c r="E40" s="2" t="s">
        <v>219</v>
      </c>
      <c r="F40" s="2" t="s">
        <v>252</v>
      </c>
      <c r="G40" s="2" t="s">
        <v>253</v>
      </c>
      <c r="H40" s="2" t="s">
        <v>254</v>
      </c>
      <c r="I40" s="2" t="s">
        <v>66</v>
      </c>
      <c r="J40" s="2"/>
    </row>
    <row r="41" spans="1:10" ht="28">
      <c r="A41" s="2" t="s">
        <v>255</v>
      </c>
      <c r="B41" s="2" t="s">
        <v>33</v>
      </c>
      <c r="C41" s="2" t="s">
        <v>256</v>
      </c>
      <c r="D41" s="2" t="s">
        <v>75</v>
      </c>
      <c r="E41" s="2" t="s">
        <v>219</v>
      </c>
      <c r="F41" s="2" t="s">
        <v>257</v>
      </c>
      <c r="G41" s="2" t="s">
        <v>258</v>
      </c>
      <c r="H41" s="2" t="s">
        <v>259</v>
      </c>
      <c r="I41" s="2" t="s">
        <v>66</v>
      </c>
      <c r="J41" s="2"/>
    </row>
    <row r="42" spans="1:10" ht="28">
      <c r="A42" s="2" t="s">
        <v>260</v>
      </c>
      <c r="B42" s="2" t="s">
        <v>33</v>
      </c>
      <c r="C42" s="2" t="s">
        <v>213</v>
      </c>
      <c r="D42" s="2" t="s">
        <v>75</v>
      </c>
      <c r="E42" s="2" t="s">
        <v>219</v>
      </c>
      <c r="F42" s="2" t="s">
        <v>261</v>
      </c>
      <c r="G42" s="2" t="s">
        <v>262</v>
      </c>
      <c r="H42" s="2" t="s">
        <v>263</v>
      </c>
      <c r="I42" s="2" t="s">
        <v>66</v>
      </c>
      <c r="J42" s="2"/>
    </row>
    <row r="43" spans="1:10" ht="28">
      <c r="A43" s="2" t="s">
        <v>264</v>
      </c>
      <c r="B43" s="2" t="s">
        <v>42</v>
      </c>
      <c r="C43" s="2" t="s">
        <v>265</v>
      </c>
      <c r="D43" s="2" t="s">
        <v>75</v>
      </c>
      <c r="E43" s="2" t="s">
        <v>94</v>
      </c>
      <c r="F43" s="2" t="s">
        <v>266</v>
      </c>
      <c r="G43" s="2" t="s">
        <v>267</v>
      </c>
      <c r="H43" s="2" t="s">
        <v>268</v>
      </c>
      <c r="I43" s="2" t="s">
        <v>66</v>
      </c>
      <c r="J43" s="2"/>
    </row>
    <row r="44" spans="1:10" ht="28">
      <c r="A44" s="2" t="s">
        <v>269</v>
      </c>
      <c r="B44" s="2" t="s">
        <v>42</v>
      </c>
      <c r="C44" s="2" t="s">
        <v>270</v>
      </c>
      <c r="D44" s="2" t="s">
        <v>75</v>
      </c>
      <c r="E44" s="2" t="s">
        <v>62</v>
      </c>
      <c r="F44" s="2" t="s">
        <v>271</v>
      </c>
      <c r="G44" s="2" t="s">
        <v>272</v>
      </c>
      <c r="H44" s="2" t="s">
        <v>273</v>
      </c>
      <c r="I44" s="2" t="s">
        <v>66</v>
      </c>
      <c r="J44" s="2"/>
    </row>
    <row r="45" spans="1:10" ht="28">
      <c r="A45" s="2" t="s">
        <v>274</v>
      </c>
      <c r="B45" s="2" t="s">
        <v>42</v>
      </c>
      <c r="C45" s="2" t="s">
        <v>275</v>
      </c>
      <c r="D45" s="2" t="s">
        <v>75</v>
      </c>
      <c r="E45" s="2" t="s">
        <v>82</v>
      </c>
      <c r="F45" s="2" t="s">
        <v>276</v>
      </c>
      <c r="G45" s="2" t="s">
        <v>277</v>
      </c>
      <c r="H45" s="2" t="s">
        <v>278</v>
      </c>
      <c r="I45" s="2" t="s">
        <v>66</v>
      </c>
      <c r="J45" s="2"/>
    </row>
    <row r="46" spans="1:10" ht="28">
      <c r="A46" s="2" t="s">
        <v>279</v>
      </c>
      <c r="B46" s="2" t="s">
        <v>42</v>
      </c>
      <c r="C46" s="2" t="s">
        <v>98</v>
      </c>
      <c r="D46" s="2" t="s">
        <v>75</v>
      </c>
      <c r="E46" s="2" t="s">
        <v>94</v>
      </c>
      <c r="F46" s="2" t="s">
        <v>280</v>
      </c>
      <c r="G46" s="2" t="s">
        <v>281</v>
      </c>
      <c r="H46" s="2" t="s">
        <v>282</v>
      </c>
      <c r="I46" s="2" t="s">
        <v>66</v>
      </c>
      <c r="J46" s="2"/>
    </row>
    <row r="47" spans="1:10" ht="42">
      <c r="A47" s="2" t="s">
        <v>283</v>
      </c>
      <c r="B47" s="2" t="s">
        <v>42</v>
      </c>
      <c r="C47" s="2" t="s">
        <v>284</v>
      </c>
      <c r="D47" s="2" t="s">
        <v>103</v>
      </c>
      <c r="E47" s="2" t="s">
        <v>200</v>
      </c>
      <c r="F47" s="2" t="s">
        <v>285</v>
      </c>
      <c r="G47" s="2" t="s">
        <v>286</v>
      </c>
      <c r="H47" s="2" t="s">
        <v>287</v>
      </c>
      <c r="I47" s="2" t="s">
        <v>66</v>
      </c>
      <c r="J47" s="2"/>
    </row>
    <row r="48" spans="1:10" ht="28">
      <c r="A48" s="2" t="s">
        <v>288</v>
      </c>
      <c r="B48" s="2" t="s">
        <v>42</v>
      </c>
      <c r="C48" s="2" t="s">
        <v>289</v>
      </c>
      <c r="D48" s="2" t="s">
        <v>103</v>
      </c>
      <c r="E48" s="2" t="s">
        <v>290</v>
      </c>
      <c r="F48" s="2" t="s">
        <v>291</v>
      </c>
      <c r="G48" s="2" t="s">
        <v>292</v>
      </c>
      <c r="H48" s="2" t="s">
        <v>293</v>
      </c>
      <c r="I48" s="2" t="s">
        <v>66</v>
      </c>
      <c r="J48" s="2"/>
    </row>
    <row r="49" spans="1:10" ht="42">
      <c r="A49" s="2" t="s">
        <v>294</v>
      </c>
      <c r="B49" s="2" t="s">
        <v>42</v>
      </c>
      <c r="C49" s="2" t="s">
        <v>295</v>
      </c>
      <c r="D49" s="2" t="s">
        <v>103</v>
      </c>
      <c r="E49" s="2" t="s">
        <v>296</v>
      </c>
      <c r="F49" s="2" t="s">
        <v>297</v>
      </c>
      <c r="G49" s="2" t="s">
        <v>298</v>
      </c>
      <c r="H49" s="2" t="s">
        <v>299</v>
      </c>
      <c r="I49" s="2" t="s">
        <v>66</v>
      </c>
      <c r="J49" s="2"/>
    </row>
    <row r="50" spans="1:10" ht="28">
      <c r="A50" s="2" t="s">
        <v>300</v>
      </c>
      <c r="B50" s="2" t="s">
        <v>42</v>
      </c>
      <c r="C50" s="2" t="s">
        <v>301</v>
      </c>
      <c r="D50" s="2" t="s">
        <v>103</v>
      </c>
      <c r="E50" s="2" t="s">
        <v>302</v>
      </c>
      <c r="F50" s="2" t="s">
        <v>303</v>
      </c>
      <c r="G50" s="2" t="s">
        <v>304</v>
      </c>
      <c r="H50" s="2" t="s">
        <v>305</v>
      </c>
      <c r="I50" s="2" t="s">
        <v>66</v>
      </c>
      <c r="J50" s="2"/>
    </row>
    <row r="51" spans="1:10">
      <c r="A51" s="2" t="s">
        <v>306</v>
      </c>
      <c r="B51" s="2" t="s">
        <v>42</v>
      </c>
      <c r="C51" s="2" t="s">
        <v>307</v>
      </c>
      <c r="D51" s="2" t="s">
        <v>103</v>
      </c>
      <c r="E51" s="2" t="s">
        <v>162</v>
      </c>
      <c r="F51" s="2" t="s">
        <v>308</v>
      </c>
      <c r="G51" s="2" t="s">
        <v>309</v>
      </c>
      <c r="H51" s="2" t="s">
        <v>310</v>
      </c>
      <c r="I51" s="2" t="s">
        <v>66</v>
      </c>
      <c r="J51" s="2"/>
    </row>
    <row r="52" spans="1:10" ht="42">
      <c r="A52" s="2" t="s">
        <v>311</v>
      </c>
      <c r="B52" s="2" t="s">
        <v>42</v>
      </c>
      <c r="C52" s="2" t="s">
        <v>312</v>
      </c>
      <c r="D52" s="2" t="s">
        <v>103</v>
      </c>
      <c r="E52" s="2" t="s">
        <v>313</v>
      </c>
      <c r="F52" s="2" t="s">
        <v>314</v>
      </c>
      <c r="G52" s="2" t="s">
        <v>315</v>
      </c>
      <c r="H52" s="2" t="s">
        <v>316</v>
      </c>
      <c r="I52" s="2" t="s">
        <v>66</v>
      </c>
      <c r="J52" s="2"/>
    </row>
  </sheetData>
  <mergeCells count="1">
    <mergeCell ref="A1:J1"/>
  </mergeCells>
  <phoneticPr fontId="6" type="noConversion"/>
  <conditionalFormatting sqref="I3:I52">
    <cfRule type="expression" dxfId="2" priority="1">
      <formula>I3="已完成"</formula>
    </cfRule>
    <cfRule type="expression" dxfId="1" priority="2">
      <formula>I3="需修订"</formula>
    </cfRule>
  </conditionalFormatting>
  <dataValidations count="2">
    <dataValidation type="list" sqref="D3:D52" xr:uid="{00000000-0002-0000-0100-000000000000}">
      <formula1>"基础,中等,综合"</formula1>
    </dataValidation>
    <dataValidation type="list" sqref="I3:I52" xr:uid="{00000000-0002-0000-0100-000001000000}">
      <formula1>"待测试,测试中,已完成,需修订"</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2"/>
  <sheetViews>
    <sheetView tabSelected="1" topLeftCell="D28" zoomScale="85" zoomScaleNormal="85" workbookViewId="0">
      <selection activeCell="K52" sqref="K52"/>
    </sheetView>
  </sheetViews>
  <sheetFormatPr defaultRowHeight="14"/>
  <cols>
    <col min="1" max="1" width="10" customWidth="1"/>
    <col min="2" max="2" width="46" customWidth="1"/>
    <col min="3" max="3" width="12" customWidth="1"/>
    <col min="4" max="4" width="22" customWidth="1"/>
    <col min="5" max="5" width="16" customWidth="1"/>
    <col min="6" max="6" width="22" customWidth="1"/>
    <col min="7" max="9" width="10" customWidth="1"/>
    <col min="10" max="10" width="16" customWidth="1"/>
    <col min="11" max="11" width="10" customWidth="1"/>
    <col min="12" max="13" width="12" customWidth="1"/>
    <col min="14" max="14" width="14" customWidth="1"/>
    <col min="15" max="15" width="30" customWidth="1"/>
  </cols>
  <sheetData>
    <row r="1" spans="1:15" ht="22.5">
      <c r="A1" s="12" t="s">
        <v>386</v>
      </c>
      <c r="B1" s="12"/>
      <c r="C1" s="12"/>
      <c r="D1" s="12"/>
      <c r="E1" s="12"/>
      <c r="F1" s="12"/>
      <c r="G1" s="12"/>
      <c r="H1" s="12"/>
      <c r="I1" s="12"/>
      <c r="J1" s="12"/>
      <c r="K1" s="12"/>
      <c r="L1" s="12"/>
      <c r="M1" s="12"/>
      <c r="N1" s="12"/>
      <c r="O1" s="12"/>
    </row>
    <row r="2" spans="1:15">
      <c r="A2" s="1" t="s">
        <v>50</v>
      </c>
      <c r="B2" s="1" t="s">
        <v>55</v>
      </c>
      <c r="C2" s="1" t="s">
        <v>51</v>
      </c>
      <c r="D2" s="1" t="s">
        <v>56</v>
      </c>
      <c r="E2" s="1" t="s">
        <v>317</v>
      </c>
      <c r="F2" s="1" t="s">
        <v>318</v>
      </c>
      <c r="G2" s="1" t="s">
        <v>319</v>
      </c>
      <c r="H2" s="1" t="s">
        <v>320</v>
      </c>
      <c r="I2" s="1" t="s">
        <v>321</v>
      </c>
      <c r="J2" s="1" t="s">
        <v>322</v>
      </c>
      <c r="K2" s="1" t="s">
        <v>323</v>
      </c>
      <c r="L2" s="1" t="s">
        <v>324</v>
      </c>
      <c r="M2" s="1" t="s">
        <v>325</v>
      </c>
      <c r="N2" s="1" t="s">
        <v>326</v>
      </c>
      <c r="O2" s="1" t="s">
        <v>58</v>
      </c>
    </row>
    <row r="3" spans="1:15" ht="28">
      <c r="A3" s="2" t="s">
        <v>59</v>
      </c>
      <c r="B3" s="2" t="s">
        <v>63</v>
      </c>
      <c r="C3" s="2" t="s">
        <v>11</v>
      </c>
      <c r="D3" s="2" t="s">
        <v>64</v>
      </c>
      <c r="E3" s="2" t="s">
        <v>387</v>
      </c>
      <c r="F3" s="2" t="s">
        <v>388</v>
      </c>
      <c r="G3" s="2">
        <v>1</v>
      </c>
      <c r="H3" s="2">
        <v>1</v>
      </c>
      <c r="I3" s="2">
        <v>1</v>
      </c>
      <c r="J3" s="2">
        <v>2</v>
      </c>
      <c r="K3" s="2">
        <v>0</v>
      </c>
      <c r="L3" s="2" t="s">
        <v>330</v>
      </c>
      <c r="M3" s="2">
        <f t="shared" ref="M3:M34" si="0">IF(L3&lt;&gt;"已完成","",IF(G3=1,2,IF(H3=1,1,0))+I3+J3*2-K3*2)</f>
        <v>7</v>
      </c>
      <c r="N3" s="3"/>
      <c r="O3" s="2"/>
    </row>
    <row r="4" spans="1:15" ht="28">
      <c r="A4" s="2" t="s">
        <v>67</v>
      </c>
      <c r="B4" s="2" t="s">
        <v>70</v>
      </c>
      <c r="C4" s="2" t="s">
        <v>11</v>
      </c>
      <c r="D4" s="2" t="s">
        <v>71</v>
      </c>
      <c r="E4" s="2" t="s">
        <v>387</v>
      </c>
      <c r="F4" t="s">
        <v>71</v>
      </c>
      <c r="G4" s="2">
        <v>1</v>
      </c>
      <c r="H4" s="2">
        <v>1</v>
      </c>
      <c r="I4" s="2">
        <v>1</v>
      </c>
      <c r="J4" s="2">
        <v>2</v>
      </c>
      <c r="K4" s="2">
        <v>0</v>
      </c>
      <c r="L4" s="2" t="s">
        <v>330</v>
      </c>
      <c r="M4" s="2">
        <f t="shared" si="0"/>
        <v>7</v>
      </c>
      <c r="N4" s="3"/>
      <c r="O4" s="2"/>
    </row>
    <row r="5" spans="1:15" ht="43.5">
      <c r="A5" s="2" t="s">
        <v>73</v>
      </c>
      <c r="B5" s="2" t="s">
        <v>77</v>
      </c>
      <c r="C5" s="2" t="s">
        <v>11</v>
      </c>
      <c r="D5" s="2" t="s">
        <v>78</v>
      </c>
      <c r="E5" s="2" t="s">
        <v>387</v>
      </c>
      <c r="F5" s="2" t="s">
        <v>78</v>
      </c>
      <c r="G5" s="2">
        <v>1</v>
      </c>
      <c r="H5" s="2">
        <v>1</v>
      </c>
      <c r="I5" s="2">
        <v>1</v>
      </c>
      <c r="J5" s="2">
        <v>2</v>
      </c>
      <c r="K5" s="2">
        <v>0</v>
      </c>
      <c r="L5" s="10" t="s">
        <v>330</v>
      </c>
      <c r="M5" s="2">
        <f t="shared" si="0"/>
        <v>7</v>
      </c>
      <c r="N5" s="3"/>
      <c r="O5" s="2"/>
    </row>
    <row r="6" spans="1:15" ht="28">
      <c r="A6" s="2" t="s">
        <v>80</v>
      </c>
      <c r="B6" s="2" t="s">
        <v>83</v>
      </c>
      <c r="C6" s="2" t="s">
        <v>11</v>
      </c>
      <c r="D6" s="2" t="s">
        <v>84</v>
      </c>
      <c r="E6" s="2" t="s">
        <v>387</v>
      </c>
      <c r="F6" s="2" t="s">
        <v>84</v>
      </c>
      <c r="G6" s="2">
        <v>1</v>
      </c>
      <c r="H6" s="2">
        <v>1</v>
      </c>
      <c r="I6" s="2">
        <v>1</v>
      </c>
      <c r="J6" s="2">
        <v>1</v>
      </c>
      <c r="K6" s="2">
        <v>0</v>
      </c>
      <c r="L6" s="2" t="s">
        <v>330</v>
      </c>
      <c r="M6" s="2">
        <f t="shared" si="0"/>
        <v>5</v>
      </c>
      <c r="N6" s="3"/>
      <c r="O6" s="2"/>
    </row>
    <row r="7" spans="1:15" ht="42">
      <c r="A7" s="2" t="s">
        <v>86</v>
      </c>
      <c r="B7" s="2" t="s">
        <v>89</v>
      </c>
      <c r="C7" s="2" t="s">
        <v>11</v>
      </c>
      <c r="D7" s="2" t="s">
        <v>90</v>
      </c>
      <c r="E7" s="2" t="s">
        <v>387</v>
      </c>
      <c r="F7" s="2" t="s">
        <v>90</v>
      </c>
      <c r="G7" s="2">
        <v>1</v>
      </c>
      <c r="H7" s="2">
        <v>1</v>
      </c>
      <c r="I7" s="2">
        <v>1</v>
      </c>
      <c r="J7" s="2">
        <v>2</v>
      </c>
      <c r="K7" s="2">
        <v>0</v>
      </c>
      <c r="L7" s="2" t="s">
        <v>330</v>
      </c>
      <c r="M7" s="2">
        <f t="shared" si="0"/>
        <v>7</v>
      </c>
      <c r="N7" s="3"/>
      <c r="O7" s="2"/>
    </row>
    <row r="8" spans="1:15" ht="42">
      <c r="A8" s="2" t="s">
        <v>92</v>
      </c>
      <c r="B8" s="2" t="s">
        <v>95</v>
      </c>
      <c r="C8" s="2" t="s">
        <v>11</v>
      </c>
      <c r="D8" s="2" t="s">
        <v>90</v>
      </c>
      <c r="E8" s="2" t="s">
        <v>387</v>
      </c>
      <c r="F8" s="2" t="s">
        <v>90</v>
      </c>
      <c r="G8" s="2">
        <v>1</v>
      </c>
      <c r="H8" s="2">
        <v>1</v>
      </c>
      <c r="I8" s="2">
        <v>1</v>
      </c>
      <c r="J8" s="2">
        <v>2</v>
      </c>
      <c r="K8" s="2">
        <v>0</v>
      </c>
      <c r="L8" s="2" t="s">
        <v>330</v>
      </c>
      <c r="M8" s="2">
        <f t="shared" si="0"/>
        <v>7</v>
      </c>
      <c r="N8" s="3"/>
      <c r="O8" s="2"/>
    </row>
    <row r="9" spans="1:15" ht="42">
      <c r="A9" s="2" t="s">
        <v>97</v>
      </c>
      <c r="B9" s="2" t="s">
        <v>99</v>
      </c>
      <c r="C9" s="2" t="s">
        <v>11</v>
      </c>
      <c r="D9" s="2" t="s">
        <v>90</v>
      </c>
      <c r="E9" s="2" t="s">
        <v>387</v>
      </c>
      <c r="F9" s="2" t="s">
        <v>90</v>
      </c>
      <c r="G9" s="2">
        <v>1</v>
      </c>
      <c r="H9" s="2">
        <v>1</v>
      </c>
      <c r="I9" s="2">
        <v>1</v>
      </c>
      <c r="J9" s="2">
        <v>2</v>
      </c>
      <c r="K9" s="2">
        <v>0</v>
      </c>
      <c r="L9" s="2" t="s">
        <v>330</v>
      </c>
      <c r="M9" s="2">
        <f t="shared" si="0"/>
        <v>7</v>
      </c>
      <c r="N9" s="3"/>
      <c r="O9" s="2"/>
    </row>
    <row r="10" spans="1:15" ht="28">
      <c r="A10" s="2" t="s">
        <v>101</v>
      </c>
      <c r="B10" s="2" t="s">
        <v>105</v>
      </c>
      <c r="C10" s="2" t="s">
        <v>11</v>
      </c>
      <c r="D10" s="2" t="s">
        <v>106</v>
      </c>
      <c r="E10" s="2" t="s">
        <v>387</v>
      </c>
      <c r="F10" s="2" t="s">
        <v>106</v>
      </c>
      <c r="G10" s="2">
        <v>1</v>
      </c>
      <c r="H10" s="2">
        <v>1</v>
      </c>
      <c r="I10" s="2">
        <v>1</v>
      </c>
      <c r="J10" s="2">
        <v>2</v>
      </c>
      <c r="K10" s="2">
        <v>1</v>
      </c>
      <c r="L10" s="2" t="s">
        <v>330</v>
      </c>
      <c r="M10" s="2">
        <f t="shared" si="0"/>
        <v>5</v>
      </c>
      <c r="N10" s="3"/>
      <c r="O10" s="2"/>
    </row>
    <row r="11" spans="1:15" ht="28">
      <c r="A11" s="2" t="s">
        <v>108</v>
      </c>
      <c r="B11" s="2" t="s">
        <v>111</v>
      </c>
      <c r="C11" s="2" t="s">
        <v>11</v>
      </c>
      <c r="D11" s="2" t="s">
        <v>112</v>
      </c>
      <c r="E11" s="2" t="s">
        <v>387</v>
      </c>
      <c r="F11" s="2" t="s">
        <v>112</v>
      </c>
      <c r="G11" s="2">
        <v>1</v>
      </c>
      <c r="H11" s="2">
        <v>1</v>
      </c>
      <c r="I11" s="2">
        <v>1</v>
      </c>
      <c r="J11" s="2">
        <v>2</v>
      </c>
      <c r="K11" s="2">
        <v>0</v>
      </c>
      <c r="L11" s="2" t="s">
        <v>330</v>
      </c>
      <c r="M11" s="2">
        <f t="shared" si="0"/>
        <v>7</v>
      </c>
      <c r="N11" s="3"/>
      <c r="O11" s="2"/>
    </row>
    <row r="12" spans="1:15" ht="42">
      <c r="A12" s="2" t="s">
        <v>114</v>
      </c>
      <c r="B12" s="2" t="s">
        <v>117</v>
      </c>
      <c r="C12" s="2" t="s">
        <v>11</v>
      </c>
      <c r="D12" s="2" t="s">
        <v>118</v>
      </c>
      <c r="E12" s="2" t="s">
        <v>387</v>
      </c>
      <c r="F12" s="2" t="s">
        <v>118</v>
      </c>
      <c r="G12" s="2">
        <v>1</v>
      </c>
      <c r="H12" s="2">
        <v>1</v>
      </c>
      <c r="I12" s="2">
        <v>1</v>
      </c>
      <c r="J12" s="2">
        <v>2</v>
      </c>
      <c r="K12" s="2">
        <v>0</v>
      </c>
      <c r="L12" s="2" t="s">
        <v>330</v>
      </c>
      <c r="M12" s="2">
        <f t="shared" si="0"/>
        <v>7</v>
      </c>
      <c r="N12" s="3"/>
      <c r="O12" s="2"/>
    </row>
    <row r="13" spans="1:15" ht="28">
      <c r="A13" s="2" t="s">
        <v>120</v>
      </c>
      <c r="B13" s="2" t="s">
        <v>121</v>
      </c>
      <c r="C13" s="2" t="s">
        <v>21</v>
      </c>
      <c r="D13" s="2" t="s">
        <v>64</v>
      </c>
      <c r="E13" s="2" t="s">
        <v>390</v>
      </c>
      <c r="F13" s="2" t="s">
        <v>388</v>
      </c>
      <c r="G13" s="2">
        <v>1</v>
      </c>
      <c r="H13" s="2">
        <v>1</v>
      </c>
      <c r="I13" s="2">
        <v>1</v>
      </c>
      <c r="J13" s="2">
        <v>2</v>
      </c>
      <c r="K13" s="2">
        <v>0</v>
      </c>
      <c r="L13" s="2" t="s">
        <v>330</v>
      </c>
      <c r="M13" s="2">
        <f t="shared" si="0"/>
        <v>7</v>
      </c>
      <c r="N13" s="3"/>
      <c r="O13" s="2"/>
    </row>
    <row r="14" spans="1:15" ht="28">
      <c r="A14" s="2" t="s">
        <v>123</v>
      </c>
      <c r="B14" s="2" t="s">
        <v>126</v>
      </c>
      <c r="C14" s="2" t="s">
        <v>21</v>
      </c>
      <c r="D14" s="2" t="s">
        <v>127</v>
      </c>
      <c r="E14" s="2" t="s">
        <v>390</v>
      </c>
      <c r="F14" s="2" t="s">
        <v>127</v>
      </c>
      <c r="G14" s="2">
        <v>1</v>
      </c>
      <c r="H14" s="2">
        <v>1</v>
      </c>
      <c r="I14" s="2">
        <v>1</v>
      </c>
      <c r="J14" s="2">
        <v>2</v>
      </c>
      <c r="K14" s="2">
        <v>0</v>
      </c>
      <c r="L14" s="2" t="s">
        <v>330</v>
      </c>
      <c r="M14" s="2">
        <f t="shared" si="0"/>
        <v>7</v>
      </c>
      <c r="N14" s="3"/>
      <c r="O14" s="2"/>
    </row>
    <row r="15" spans="1:15" ht="28">
      <c r="A15" s="2" t="s">
        <v>129</v>
      </c>
      <c r="B15" s="2" t="s">
        <v>131</v>
      </c>
      <c r="C15" s="2" t="s">
        <v>21</v>
      </c>
      <c r="D15" s="2" t="s">
        <v>132</v>
      </c>
      <c r="E15" s="2" t="s">
        <v>390</v>
      </c>
      <c r="F15" s="2" t="s">
        <v>132</v>
      </c>
      <c r="G15" s="2">
        <v>1</v>
      </c>
      <c r="H15" s="2">
        <v>1</v>
      </c>
      <c r="I15" s="2">
        <v>1</v>
      </c>
      <c r="J15" s="2">
        <v>2</v>
      </c>
      <c r="K15" s="2">
        <v>0</v>
      </c>
      <c r="L15" s="2" t="s">
        <v>330</v>
      </c>
      <c r="M15" s="2">
        <f t="shared" si="0"/>
        <v>7</v>
      </c>
      <c r="N15" s="3"/>
      <c r="O15" s="2"/>
    </row>
    <row r="16" spans="1:15" ht="28">
      <c r="A16" s="2" t="s">
        <v>134</v>
      </c>
      <c r="B16" s="2" t="s">
        <v>136</v>
      </c>
      <c r="C16" s="2" t="s">
        <v>21</v>
      </c>
      <c r="D16" s="2" t="s">
        <v>137</v>
      </c>
      <c r="E16" s="2" t="s">
        <v>390</v>
      </c>
      <c r="F16" s="2" t="s">
        <v>137</v>
      </c>
      <c r="G16" s="2">
        <v>1</v>
      </c>
      <c r="H16" s="2">
        <v>1</v>
      </c>
      <c r="I16" s="2">
        <v>1</v>
      </c>
      <c r="J16" s="2">
        <v>2</v>
      </c>
      <c r="K16" s="2">
        <v>0</v>
      </c>
      <c r="L16" s="2" t="s">
        <v>330</v>
      </c>
      <c r="M16" s="2">
        <f t="shared" si="0"/>
        <v>7</v>
      </c>
      <c r="N16" s="3"/>
      <c r="O16" s="2"/>
    </row>
    <row r="17" spans="1:15" ht="28">
      <c r="A17" s="2" t="s">
        <v>139</v>
      </c>
      <c r="B17" s="2" t="s">
        <v>141</v>
      </c>
      <c r="C17" s="2" t="s">
        <v>21</v>
      </c>
      <c r="D17" s="2" t="s">
        <v>142</v>
      </c>
      <c r="E17" s="2" t="s">
        <v>390</v>
      </c>
      <c r="F17" s="2" t="s">
        <v>142</v>
      </c>
      <c r="G17" s="2">
        <v>1</v>
      </c>
      <c r="H17" s="2">
        <v>1</v>
      </c>
      <c r="I17" s="2">
        <v>1</v>
      </c>
      <c r="J17" s="2">
        <v>2</v>
      </c>
      <c r="K17" s="2">
        <v>0</v>
      </c>
      <c r="L17" s="2" t="s">
        <v>330</v>
      </c>
      <c r="M17" s="2">
        <f t="shared" si="0"/>
        <v>7</v>
      </c>
      <c r="N17" s="3"/>
      <c r="O17" s="2"/>
    </row>
    <row r="18" spans="1:15" ht="28">
      <c r="A18" s="2" t="s">
        <v>144</v>
      </c>
      <c r="B18" s="2" t="s">
        <v>147</v>
      </c>
      <c r="C18" s="2" t="s">
        <v>21</v>
      </c>
      <c r="D18" s="2" t="s">
        <v>148</v>
      </c>
      <c r="E18" s="2" t="s">
        <v>390</v>
      </c>
      <c r="F18" s="2" t="s">
        <v>148</v>
      </c>
      <c r="G18" s="2">
        <v>1</v>
      </c>
      <c r="H18" s="2">
        <v>1</v>
      </c>
      <c r="I18" s="2">
        <v>1</v>
      </c>
      <c r="J18" s="2">
        <v>2</v>
      </c>
      <c r="K18" s="2">
        <v>0</v>
      </c>
      <c r="L18" s="2" t="s">
        <v>330</v>
      </c>
      <c r="M18" s="2">
        <f t="shared" si="0"/>
        <v>7</v>
      </c>
      <c r="N18" s="3"/>
      <c r="O18" s="2"/>
    </row>
    <row r="19" spans="1:15" ht="28">
      <c r="A19" s="2" t="s">
        <v>150</v>
      </c>
      <c r="B19" s="2" t="s">
        <v>152</v>
      </c>
      <c r="C19" s="2" t="s">
        <v>21</v>
      </c>
      <c r="D19" s="2" t="s">
        <v>153</v>
      </c>
      <c r="E19" s="2" t="s">
        <v>390</v>
      </c>
      <c r="F19" s="2" t="s">
        <v>153</v>
      </c>
      <c r="G19" s="2">
        <v>1</v>
      </c>
      <c r="H19" s="2">
        <v>1</v>
      </c>
      <c r="I19" s="2">
        <v>1</v>
      </c>
      <c r="J19" s="2">
        <v>2</v>
      </c>
      <c r="K19" s="2">
        <v>0</v>
      </c>
      <c r="L19" s="2" t="s">
        <v>330</v>
      </c>
      <c r="M19" s="2">
        <f t="shared" si="0"/>
        <v>7</v>
      </c>
      <c r="N19" s="3"/>
      <c r="O19" s="2"/>
    </row>
    <row r="20" spans="1:15" ht="28">
      <c r="A20" s="2" t="s">
        <v>155</v>
      </c>
      <c r="B20" s="2" t="s">
        <v>157</v>
      </c>
      <c r="C20" s="2" t="s">
        <v>21</v>
      </c>
      <c r="D20" s="2" t="s">
        <v>158</v>
      </c>
      <c r="E20" s="2" t="s">
        <v>390</v>
      </c>
      <c r="F20" s="2" t="s">
        <v>158</v>
      </c>
      <c r="G20" s="2">
        <v>1</v>
      </c>
      <c r="H20" s="2">
        <v>1</v>
      </c>
      <c r="I20" s="2">
        <v>1</v>
      </c>
      <c r="J20" s="2">
        <v>2</v>
      </c>
      <c r="K20" s="2">
        <v>0</v>
      </c>
      <c r="L20" s="2" t="s">
        <v>330</v>
      </c>
      <c r="M20" s="2">
        <f t="shared" si="0"/>
        <v>7</v>
      </c>
      <c r="N20" s="3"/>
      <c r="O20" s="2"/>
    </row>
    <row r="21" spans="1:15" ht="28">
      <c r="A21" s="2" t="s">
        <v>160</v>
      </c>
      <c r="B21" s="2" t="s">
        <v>163</v>
      </c>
      <c r="C21" s="2" t="s">
        <v>21</v>
      </c>
      <c r="D21" s="2" t="s">
        <v>161</v>
      </c>
      <c r="E21" s="2" t="s">
        <v>390</v>
      </c>
      <c r="F21" s="2" t="s">
        <v>161</v>
      </c>
      <c r="G21" s="2">
        <v>1</v>
      </c>
      <c r="H21" s="2">
        <v>1</v>
      </c>
      <c r="I21" s="2">
        <v>1</v>
      </c>
      <c r="J21" s="2">
        <v>2</v>
      </c>
      <c r="K21" s="2">
        <v>0</v>
      </c>
      <c r="L21" s="2" t="s">
        <v>330</v>
      </c>
      <c r="M21" s="2">
        <f t="shared" si="0"/>
        <v>7</v>
      </c>
      <c r="N21" s="3"/>
      <c r="O21" s="2"/>
    </row>
    <row r="22" spans="1:15" ht="28">
      <c r="A22" s="2" t="s">
        <v>165</v>
      </c>
      <c r="B22" s="2" t="s">
        <v>168</v>
      </c>
      <c r="C22" s="2" t="s">
        <v>21</v>
      </c>
      <c r="D22" s="2" t="s">
        <v>169</v>
      </c>
      <c r="E22" s="2" t="s">
        <v>390</v>
      </c>
      <c r="F22" s="2" t="s">
        <v>169</v>
      </c>
      <c r="G22" s="2">
        <v>1</v>
      </c>
      <c r="H22" s="2">
        <v>1</v>
      </c>
      <c r="I22" s="2">
        <v>1</v>
      </c>
      <c r="J22" s="2">
        <v>2</v>
      </c>
      <c r="K22" s="2">
        <v>0</v>
      </c>
      <c r="L22" s="2" t="s">
        <v>330</v>
      </c>
      <c r="M22" s="2">
        <f t="shared" si="0"/>
        <v>7</v>
      </c>
      <c r="N22" s="3"/>
      <c r="O22" s="2"/>
    </row>
    <row r="23" spans="1:15" ht="28">
      <c r="A23" s="2" t="s">
        <v>171</v>
      </c>
      <c r="B23" s="2" t="s">
        <v>173</v>
      </c>
      <c r="C23" s="2" t="s">
        <v>27</v>
      </c>
      <c r="D23" s="2" t="s">
        <v>174</v>
      </c>
      <c r="E23" s="2" t="s">
        <v>391</v>
      </c>
      <c r="F23" s="2" t="s">
        <v>174</v>
      </c>
      <c r="G23" s="2">
        <v>1</v>
      </c>
      <c r="H23" s="2">
        <v>1</v>
      </c>
      <c r="I23" s="2">
        <v>1</v>
      </c>
      <c r="J23" s="2">
        <v>2</v>
      </c>
      <c r="K23" s="2">
        <v>0</v>
      </c>
      <c r="L23" s="2" t="s">
        <v>330</v>
      </c>
      <c r="M23" s="2">
        <f t="shared" si="0"/>
        <v>7</v>
      </c>
      <c r="N23" s="3"/>
      <c r="O23" s="2"/>
    </row>
    <row r="24" spans="1:15">
      <c r="A24" s="2" t="s">
        <v>176</v>
      </c>
      <c r="B24" s="2" t="s">
        <v>178</v>
      </c>
      <c r="C24" s="2" t="s">
        <v>27</v>
      </c>
      <c r="D24" s="2" t="s">
        <v>179</v>
      </c>
      <c r="E24" s="2" t="s">
        <v>391</v>
      </c>
      <c r="F24" s="2" t="s">
        <v>392</v>
      </c>
      <c r="G24" s="2">
        <v>1</v>
      </c>
      <c r="H24" s="2">
        <v>1</v>
      </c>
      <c r="I24" s="2">
        <v>1</v>
      </c>
      <c r="J24" s="2">
        <v>1</v>
      </c>
      <c r="K24" s="2">
        <v>0</v>
      </c>
      <c r="L24" s="2" t="s">
        <v>330</v>
      </c>
      <c r="M24" s="2">
        <f t="shared" si="0"/>
        <v>5</v>
      </c>
      <c r="N24" s="3"/>
      <c r="O24" s="2"/>
    </row>
    <row r="25" spans="1:15" ht="28">
      <c r="A25" s="2" t="s">
        <v>180</v>
      </c>
      <c r="B25" s="2" t="s">
        <v>182</v>
      </c>
      <c r="C25" s="2" t="s">
        <v>27</v>
      </c>
      <c r="D25" s="2" t="s">
        <v>183</v>
      </c>
      <c r="E25" s="2" t="s">
        <v>391</v>
      </c>
      <c r="F25" s="2" t="s">
        <v>183</v>
      </c>
      <c r="G25" s="2">
        <v>1</v>
      </c>
      <c r="H25" s="2">
        <v>1</v>
      </c>
      <c r="I25" s="2">
        <v>1</v>
      </c>
      <c r="J25" s="2">
        <v>2</v>
      </c>
      <c r="K25" s="2">
        <v>0</v>
      </c>
      <c r="L25" s="2" t="s">
        <v>330</v>
      </c>
      <c r="M25" s="2">
        <f t="shared" si="0"/>
        <v>7</v>
      </c>
      <c r="N25" s="3"/>
      <c r="O25" s="2"/>
    </row>
    <row r="26" spans="1:15">
      <c r="A26" s="2" t="s">
        <v>185</v>
      </c>
      <c r="B26" s="2" t="s">
        <v>186</v>
      </c>
      <c r="C26" s="2" t="s">
        <v>27</v>
      </c>
      <c r="D26" s="2" t="s">
        <v>187</v>
      </c>
      <c r="E26" s="2" t="s">
        <v>391</v>
      </c>
      <c r="F26" s="2" t="s">
        <v>187</v>
      </c>
      <c r="G26" s="2">
        <v>1</v>
      </c>
      <c r="H26" s="2">
        <v>1</v>
      </c>
      <c r="I26" s="2">
        <v>1</v>
      </c>
      <c r="J26" s="2">
        <v>2</v>
      </c>
      <c r="K26" s="2">
        <v>0</v>
      </c>
      <c r="L26" s="2" t="s">
        <v>330</v>
      </c>
      <c r="M26" s="2">
        <f t="shared" si="0"/>
        <v>7</v>
      </c>
      <c r="N26" s="3"/>
      <c r="O26" s="2"/>
    </row>
    <row r="27" spans="1:15">
      <c r="A27" s="2" t="s">
        <v>189</v>
      </c>
      <c r="B27" s="2" t="s">
        <v>191</v>
      </c>
      <c r="C27" s="2" t="s">
        <v>27</v>
      </c>
      <c r="D27" s="2" t="s">
        <v>192</v>
      </c>
      <c r="E27" s="2" t="s">
        <v>391</v>
      </c>
      <c r="F27" s="2" t="s">
        <v>192</v>
      </c>
      <c r="G27" s="2">
        <v>1</v>
      </c>
      <c r="H27" s="2">
        <v>1</v>
      </c>
      <c r="I27" s="2">
        <v>1</v>
      </c>
      <c r="J27" s="2">
        <v>2</v>
      </c>
      <c r="K27" s="2">
        <v>0</v>
      </c>
      <c r="L27" s="2" t="s">
        <v>330</v>
      </c>
      <c r="M27" s="2">
        <f t="shared" si="0"/>
        <v>7</v>
      </c>
      <c r="N27" s="3"/>
      <c r="O27" s="2"/>
    </row>
    <row r="28" spans="1:15" ht="42">
      <c r="A28" s="2" t="s">
        <v>194</v>
      </c>
      <c r="B28" s="2" t="s">
        <v>196</v>
      </c>
      <c r="C28" s="2" t="s">
        <v>27</v>
      </c>
      <c r="D28" s="2" t="s">
        <v>197</v>
      </c>
      <c r="E28" s="2" t="s">
        <v>387</v>
      </c>
      <c r="F28" s="2" t="s">
        <v>90</v>
      </c>
      <c r="G28" s="2">
        <v>0</v>
      </c>
      <c r="H28" s="2">
        <v>1</v>
      </c>
      <c r="I28" s="2">
        <v>1</v>
      </c>
      <c r="J28" s="2">
        <v>2</v>
      </c>
      <c r="K28" s="2">
        <v>0</v>
      </c>
      <c r="L28" s="2" t="s">
        <v>330</v>
      </c>
      <c r="M28" s="2">
        <f t="shared" si="0"/>
        <v>6</v>
      </c>
      <c r="N28" s="3"/>
      <c r="O28" s="2"/>
    </row>
    <row r="29" spans="1:15" ht="28">
      <c r="A29" s="2" t="s">
        <v>199</v>
      </c>
      <c r="B29" s="2" t="s">
        <v>201</v>
      </c>
      <c r="C29" s="2" t="s">
        <v>27</v>
      </c>
      <c r="D29" s="2" t="s">
        <v>202</v>
      </c>
      <c r="E29" s="2" t="s">
        <v>391</v>
      </c>
      <c r="F29" s="2" t="s">
        <v>202</v>
      </c>
      <c r="G29" s="2">
        <v>1</v>
      </c>
      <c r="H29" s="2">
        <v>1</v>
      </c>
      <c r="I29" s="2">
        <v>1</v>
      </c>
      <c r="J29" s="2">
        <v>2</v>
      </c>
      <c r="K29" s="2">
        <v>0</v>
      </c>
      <c r="L29" s="2" t="s">
        <v>330</v>
      </c>
      <c r="M29" s="2">
        <f t="shared" si="0"/>
        <v>7</v>
      </c>
      <c r="N29" s="3"/>
      <c r="O29" s="2"/>
    </row>
    <row r="30" spans="1:15" ht="28">
      <c r="A30" s="2" t="s">
        <v>204</v>
      </c>
      <c r="B30" s="2" t="s">
        <v>205</v>
      </c>
      <c r="C30" s="2" t="s">
        <v>27</v>
      </c>
      <c r="D30" s="2" t="s">
        <v>206</v>
      </c>
      <c r="E30" s="2" t="s">
        <v>391</v>
      </c>
      <c r="F30" s="2" t="s">
        <v>206</v>
      </c>
      <c r="G30" s="2">
        <v>1</v>
      </c>
      <c r="H30" s="2">
        <v>1</v>
      </c>
      <c r="I30" s="2">
        <v>1</v>
      </c>
      <c r="J30" s="2">
        <v>2</v>
      </c>
      <c r="K30" s="2">
        <v>0</v>
      </c>
      <c r="L30" s="2" t="s">
        <v>330</v>
      </c>
      <c r="M30" s="2">
        <f t="shared" si="0"/>
        <v>7</v>
      </c>
      <c r="N30" s="3"/>
      <c r="O30" s="2"/>
    </row>
    <row r="31" spans="1:15">
      <c r="A31" s="2" t="s">
        <v>208</v>
      </c>
      <c r="B31" s="2" t="s">
        <v>210</v>
      </c>
      <c r="C31" s="2" t="s">
        <v>27</v>
      </c>
      <c r="D31" s="2" t="s">
        <v>211</v>
      </c>
      <c r="E31" s="2" t="s">
        <v>391</v>
      </c>
      <c r="F31" s="2" t="s">
        <v>211</v>
      </c>
      <c r="G31" s="2">
        <v>1</v>
      </c>
      <c r="H31" s="2">
        <v>1</v>
      </c>
      <c r="I31" s="2">
        <v>1</v>
      </c>
      <c r="J31" s="2">
        <v>1</v>
      </c>
      <c r="K31" s="2">
        <v>0</v>
      </c>
      <c r="L31" s="2" t="s">
        <v>330</v>
      </c>
      <c r="M31" s="2">
        <f t="shared" si="0"/>
        <v>5</v>
      </c>
      <c r="N31" s="3"/>
      <c r="O31" s="2"/>
    </row>
    <row r="32" spans="1:15">
      <c r="A32" s="2" t="s">
        <v>212</v>
      </c>
      <c r="B32" s="2" t="s">
        <v>214</v>
      </c>
      <c r="C32" s="2" t="s">
        <v>27</v>
      </c>
      <c r="D32" s="2" t="s">
        <v>215</v>
      </c>
      <c r="E32" s="2" t="s">
        <v>391</v>
      </c>
      <c r="F32" s="2" t="s">
        <v>215</v>
      </c>
      <c r="G32" s="2">
        <v>1</v>
      </c>
      <c r="H32" s="2">
        <v>1</v>
      </c>
      <c r="I32" s="2">
        <v>1</v>
      </c>
      <c r="J32" s="2">
        <v>2</v>
      </c>
      <c r="K32" s="2">
        <v>0</v>
      </c>
      <c r="L32" s="2" t="s">
        <v>330</v>
      </c>
      <c r="M32" s="2">
        <f t="shared" si="0"/>
        <v>7</v>
      </c>
      <c r="N32" s="3"/>
      <c r="O32" s="2"/>
    </row>
    <row r="33" spans="1:15" ht="28">
      <c r="A33" s="2" t="s">
        <v>217</v>
      </c>
      <c r="B33" s="2" t="s">
        <v>220</v>
      </c>
      <c r="C33" s="2" t="s">
        <v>33</v>
      </c>
      <c r="D33" s="2" t="s">
        <v>221</v>
      </c>
      <c r="E33" s="2" t="s">
        <v>395</v>
      </c>
      <c r="F33" s="2" t="s">
        <v>221</v>
      </c>
      <c r="G33" s="2">
        <v>1</v>
      </c>
      <c r="H33" s="2">
        <v>1</v>
      </c>
      <c r="I33" s="2">
        <v>1</v>
      </c>
      <c r="J33" s="2">
        <v>2</v>
      </c>
      <c r="K33" s="2">
        <v>0</v>
      </c>
      <c r="L33" s="2" t="s">
        <v>330</v>
      </c>
      <c r="M33" s="2">
        <f t="shared" si="0"/>
        <v>7</v>
      </c>
      <c r="N33" s="3"/>
      <c r="O33" s="2"/>
    </row>
    <row r="34" spans="1:15" ht="28">
      <c r="A34" s="2" t="s">
        <v>223</v>
      </c>
      <c r="B34" s="2" t="s">
        <v>225</v>
      </c>
      <c r="C34" s="2" t="s">
        <v>33</v>
      </c>
      <c r="D34" s="2" t="s">
        <v>226</v>
      </c>
      <c r="E34" s="2" t="s">
        <v>395</v>
      </c>
      <c r="F34" s="2" t="s">
        <v>226</v>
      </c>
      <c r="G34" s="2">
        <v>1</v>
      </c>
      <c r="H34" s="2">
        <v>1</v>
      </c>
      <c r="I34" s="2">
        <v>1</v>
      </c>
      <c r="J34" s="2">
        <v>2</v>
      </c>
      <c r="K34" s="2">
        <v>0</v>
      </c>
      <c r="L34" s="2" t="s">
        <v>330</v>
      </c>
      <c r="M34" s="2">
        <f t="shared" si="0"/>
        <v>7</v>
      </c>
      <c r="N34" s="3"/>
      <c r="O34" s="2"/>
    </row>
    <row r="35" spans="1:15" ht="28">
      <c r="A35" s="2" t="s">
        <v>228</v>
      </c>
      <c r="B35" s="2" t="s">
        <v>230</v>
      </c>
      <c r="C35" s="2" t="s">
        <v>33</v>
      </c>
      <c r="D35" s="2" t="s">
        <v>231</v>
      </c>
      <c r="E35" s="2" t="s">
        <v>395</v>
      </c>
      <c r="F35" s="2" t="s">
        <v>231</v>
      </c>
      <c r="G35" s="2">
        <v>1</v>
      </c>
      <c r="H35" s="2">
        <v>1</v>
      </c>
      <c r="I35" s="2">
        <v>1</v>
      </c>
      <c r="J35" s="2">
        <v>2</v>
      </c>
      <c r="K35" s="2">
        <v>0</v>
      </c>
      <c r="L35" s="2" t="s">
        <v>330</v>
      </c>
      <c r="M35" s="2">
        <f t="shared" ref="M35:M52" si="1">IF(L35&lt;&gt;"已完成","",IF(G35=1,2,IF(H35=1,1,0))+I35+J35*2-K35*2)</f>
        <v>7</v>
      </c>
      <c r="N35" s="3"/>
      <c r="O35" s="2"/>
    </row>
    <row r="36" spans="1:15">
      <c r="A36" s="2" t="s">
        <v>233</v>
      </c>
      <c r="B36" s="2" t="s">
        <v>235</v>
      </c>
      <c r="C36" s="2" t="s">
        <v>33</v>
      </c>
      <c r="D36" s="2" t="s">
        <v>236</v>
      </c>
      <c r="E36" s="2" t="s">
        <v>391</v>
      </c>
      <c r="F36" t="s">
        <v>396</v>
      </c>
      <c r="G36" s="2">
        <v>0</v>
      </c>
      <c r="H36" s="2">
        <v>1</v>
      </c>
      <c r="I36" s="2">
        <v>1</v>
      </c>
      <c r="J36" s="2">
        <v>2</v>
      </c>
      <c r="K36" s="2">
        <v>0</v>
      </c>
      <c r="L36" s="2" t="s">
        <v>330</v>
      </c>
      <c r="M36" s="2">
        <f t="shared" si="1"/>
        <v>6</v>
      </c>
      <c r="N36" s="3"/>
      <c r="O36" s="2"/>
    </row>
    <row r="37" spans="1:15" ht="28">
      <c r="A37" s="2" t="s">
        <v>238</v>
      </c>
      <c r="B37" s="2" t="s">
        <v>239</v>
      </c>
      <c r="C37" s="2" t="s">
        <v>33</v>
      </c>
      <c r="D37" s="2" t="s">
        <v>240</v>
      </c>
      <c r="E37" s="2" t="s">
        <v>395</v>
      </c>
      <c r="F37" s="2" t="s">
        <v>240</v>
      </c>
      <c r="G37" s="2">
        <v>1</v>
      </c>
      <c r="H37" s="2">
        <v>1</v>
      </c>
      <c r="I37" s="2">
        <v>1</v>
      </c>
      <c r="J37" s="2">
        <v>2</v>
      </c>
      <c r="K37" s="2">
        <v>0</v>
      </c>
      <c r="L37" s="2" t="s">
        <v>330</v>
      </c>
      <c r="M37" s="2">
        <f t="shared" si="1"/>
        <v>7</v>
      </c>
      <c r="N37" s="3"/>
      <c r="O37" s="2"/>
    </row>
    <row r="38" spans="1:15" ht="28.5">
      <c r="A38" s="2" t="s">
        <v>242</v>
      </c>
      <c r="B38" s="2" t="s">
        <v>244</v>
      </c>
      <c r="C38" s="2" t="s">
        <v>33</v>
      </c>
      <c r="D38" s="2" t="s">
        <v>245</v>
      </c>
      <c r="E38" s="2" t="s">
        <v>391</v>
      </c>
      <c r="F38" s="11" t="s">
        <v>397</v>
      </c>
      <c r="G38" s="2">
        <v>0</v>
      </c>
      <c r="H38" s="2">
        <v>1</v>
      </c>
      <c r="I38" s="2">
        <v>1</v>
      </c>
      <c r="J38" s="2">
        <v>2</v>
      </c>
      <c r="K38" s="2">
        <v>0</v>
      </c>
      <c r="L38" s="2" t="s">
        <v>330</v>
      </c>
      <c r="M38" s="2">
        <f t="shared" si="1"/>
        <v>6</v>
      </c>
      <c r="N38" s="3"/>
      <c r="O38" s="2"/>
    </row>
    <row r="39" spans="1:15">
      <c r="A39" s="2" t="s">
        <v>247</v>
      </c>
      <c r="B39" s="2" t="s">
        <v>248</v>
      </c>
      <c r="C39" s="2" t="s">
        <v>33</v>
      </c>
      <c r="D39" s="2" t="s">
        <v>249</v>
      </c>
      <c r="E39" s="2" t="s">
        <v>395</v>
      </c>
      <c r="F39" s="2" t="s">
        <v>249</v>
      </c>
      <c r="G39" s="2">
        <v>1</v>
      </c>
      <c r="H39" s="2">
        <v>1</v>
      </c>
      <c r="I39" s="2">
        <v>1</v>
      </c>
      <c r="J39" s="2">
        <v>2</v>
      </c>
      <c r="K39" s="2">
        <v>0</v>
      </c>
      <c r="L39" s="2" t="s">
        <v>330</v>
      </c>
      <c r="M39" s="2">
        <f t="shared" si="1"/>
        <v>7</v>
      </c>
      <c r="N39" s="3"/>
      <c r="O39" s="2"/>
    </row>
    <row r="40" spans="1:15" ht="28">
      <c r="A40" s="2" t="s">
        <v>251</v>
      </c>
      <c r="B40" s="2" t="s">
        <v>252</v>
      </c>
      <c r="C40" s="2" t="s">
        <v>33</v>
      </c>
      <c r="D40" s="2" t="s">
        <v>253</v>
      </c>
      <c r="E40" s="2" t="s">
        <v>395</v>
      </c>
      <c r="F40" s="2" t="s">
        <v>253</v>
      </c>
      <c r="G40" s="2">
        <v>1</v>
      </c>
      <c r="H40" s="2">
        <v>1</v>
      </c>
      <c r="I40" s="2">
        <v>1</v>
      </c>
      <c r="J40" s="2">
        <v>2</v>
      </c>
      <c r="K40" s="2">
        <v>0</v>
      </c>
      <c r="L40" s="2" t="s">
        <v>330</v>
      </c>
      <c r="M40" s="2">
        <f t="shared" si="1"/>
        <v>7</v>
      </c>
      <c r="N40" s="3"/>
      <c r="O40" s="2"/>
    </row>
    <row r="41" spans="1:15">
      <c r="A41" s="2" t="s">
        <v>255</v>
      </c>
      <c r="B41" s="2" t="s">
        <v>257</v>
      </c>
      <c r="C41" s="2" t="s">
        <v>33</v>
      </c>
      <c r="D41" s="2" t="s">
        <v>258</v>
      </c>
      <c r="E41" s="2" t="s">
        <v>391</v>
      </c>
      <c r="F41" s="2" t="s">
        <v>398</v>
      </c>
      <c r="G41" s="2">
        <v>0</v>
      </c>
      <c r="H41" s="2">
        <v>1</v>
      </c>
      <c r="I41" s="2">
        <v>1</v>
      </c>
      <c r="J41" s="2">
        <v>2</v>
      </c>
      <c r="K41" s="2">
        <v>0</v>
      </c>
      <c r="L41" s="2" t="s">
        <v>330</v>
      </c>
      <c r="M41" s="2">
        <f t="shared" si="1"/>
        <v>6</v>
      </c>
      <c r="N41" s="3"/>
      <c r="O41" s="2"/>
    </row>
    <row r="42" spans="1:15">
      <c r="A42" s="2" t="s">
        <v>260</v>
      </c>
      <c r="B42" s="2" t="s">
        <v>261</v>
      </c>
      <c r="C42" s="2" t="s">
        <v>33</v>
      </c>
      <c r="D42" s="2" t="s">
        <v>262</v>
      </c>
      <c r="E42" s="2" t="s">
        <v>391</v>
      </c>
      <c r="F42" s="2" t="s">
        <v>399</v>
      </c>
      <c r="G42" s="2">
        <v>0</v>
      </c>
      <c r="H42" s="2">
        <v>1</v>
      </c>
      <c r="I42" s="2">
        <v>1</v>
      </c>
      <c r="J42" s="2">
        <v>2</v>
      </c>
      <c r="K42" s="2">
        <v>0</v>
      </c>
      <c r="L42" s="2" t="s">
        <v>330</v>
      </c>
      <c r="M42" s="2">
        <f t="shared" si="1"/>
        <v>6</v>
      </c>
      <c r="N42" s="3"/>
      <c r="O42" s="2"/>
    </row>
    <row r="43" spans="1:15" ht="28">
      <c r="A43" s="2" t="s">
        <v>264</v>
      </c>
      <c r="B43" s="2" t="s">
        <v>266</v>
      </c>
      <c r="C43" s="2" t="s">
        <v>42</v>
      </c>
      <c r="D43" s="2" t="s">
        <v>267</v>
      </c>
      <c r="E43" s="2" t="s">
        <v>400</v>
      </c>
      <c r="F43" s="2" t="s">
        <v>267</v>
      </c>
      <c r="G43" s="2">
        <v>1</v>
      </c>
      <c r="H43" s="2">
        <v>1</v>
      </c>
      <c r="I43" s="2">
        <v>1</v>
      </c>
      <c r="J43" s="2">
        <v>2</v>
      </c>
      <c r="K43" s="2">
        <v>0</v>
      </c>
      <c r="L43" s="2" t="s">
        <v>330</v>
      </c>
      <c r="M43" s="2">
        <f t="shared" si="1"/>
        <v>7</v>
      </c>
      <c r="N43" s="3"/>
      <c r="O43" s="2"/>
    </row>
    <row r="44" spans="1:15" ht="28">
      <c r="A44" s="2" t="s">
        <v>269</v>
      </c>
      <c r="B44" s="2" t="s">
        <v>271</v>
      </c>
      <c r="C44" s="2" t="s">
        <v>42</v>
      </c>
      <c r="D44" s="2" t="s">
        <v>272</v>
      </c>
      <c r="E44" s="2" t="s">
        <v>400</v>
      </c>
      <c r="F44" s="2" t="s">
        <v>272</v>
      </c>
      <c r="G44" s="2">
        <v>1</v>
      </c>
      <c r="H44" s="2">
        <v>1</v>
      </c>
      <c r="I44" s="2">
        <v>1</v>
      </c>
      <c r="J44" s="2">
        <v>2</v>
      </c>
      <c r="K44" s="2">
        <v>0</v>
      </c>
      <c r="L44" s="2" t="s">
        <v>330</v>
      </c>
      <c r="M44" s="2">
        <f t="shared" si="1"/>
        <v>7</v>
      </c>
      <c r="N44" s="3"/>
      <c r="O44" s="2"/>
    </row>
    <row r="45" spans="1:15">
      <c r="A45" s="2" t="s">
        <v>274</v>
      </c>
      <c r="B45" s="2" t="s">
        <v>276</v>
      </c>
      <c r="C45" s="2" t="s">
        <v>42</v>
      </c>
      <c r="D45" s="2" t="s">
        <v>277</v>
      </c>
      <c r="E45" s="2" t="s">
        <v>400</v>
      </c>
      <c r="F45" s="2" t="s">
        <v>277</v>
      </c>
      <c r="G45" s="2">
        <v>1</v>
      </c>
      <c r="H45" s="2">
        <v>1</v>
      </c>
      <c r="I45" s="2">
        <v>1</v>
      </c>
      <c r="J45" s="2">
        <v>2</v>
      </c>
      <c r="K45" s="2">
        <v>0</v>
      </c>
      <c r="L45" s="2" t="s">
        <v>330</v>
      </c>
      <c r="M45" s="2">
        <f t="shared" si="1"/>
        <v>7</v>
      </c>
      <c r="N45" s="3"/>
      <c r="O45" s="2"/>
    </row>
    <row r="46" spans="1:15">
      <c r="A46" s="2" t="s">
        <v>279</v>
      </c>
      <c r="B46" s="2" t="s">
        <v>280</v>
      </c>
      <c r="C46" s="2" t="s">
        <v>42</v>
      </c>
      <c r="D46" s="2" t="s">
        <v>281</v>
      </c>
      <c r="E46" s="2" t="s">
        <v>400</v>
      </c>
      <c r="F46" s="2" t="s">
        <v>281</v>
      </c>
      <c r="G46" s="2">
        <v>1</v>
      </c>
      <c r="H46" s="2">
        <v>1</v>
      </c>
      <c r="I46" s="2">
        <v>1</v>
      </c>
      <c r="J46" s="2">
        <v>2</v>
      </c>
      <c r="K46" s="2">
        <v>0</v>
      </c>
      <c r="L46" s="2" t="s">
        <v>330</v>
      </c>
      <c r="M46" s="2">
        <f t="shared" si="1"/>
        <v>7</v>
      </c>
      <c r="N46" s="3"/>
      <c r="O46" s="2"/>
    </row>
    <row r="47" spans="1:15">
      <c r="A47" s="2" t="s">
        <v>283</v>
      </c>
      <c r="B47" s="2" t="s">
        <v>285</v>
      </c>
      <c r="C47" s="2" t="s">
        <v>42</v>
      </c>
      <c r="D47" s="2" t="s">
        <v>286</v>
      </c>
      <c r="E47" s="2" t="s">
        <v>400</v>
      </c>
      <c r="F47" s="2" t="s">
        <v>286</v>
      </c>
      <c r="G47" s="2">
        <v>1</v>
      </c>
      <c r="H47" s="2">
        <v>1</v>
      </c>
      <c r="I47" s="2">
        <v>1</v>
      </c>
      <c r="J47" s="2">
        <v>2</v>
      </c>
      <c r="K47" s="2">
        <v>0</v>
      </c>
      <c r="L47" s="2" t="s">
        <v>330</v>
      </c>
      <c r="M47" s="2">
        <f t="shared" si="1"/>
        <v>7</v>
      </c>
      <c r="N47" s="3"/>
      <c r="O47" s="2"/>
    </row>
    <row r="48" spans="1:15">
      <c r="A48" s="2" t="s">
        <v>288</v>
      </c>
      <c r="B48" s="2" t="s">
        <v>291</v>
      </c>
      <c r="C48" s="2" t="s">
        <v>42</v>
      </c>
      <c r="D48" s="2" t="s">
        <v>292</v>
      </c>
      <c r="E48" s="2" t="s">
        <v>400</v>
      </c>
      <c r="F48" s="2" t="s">
        <v>292</v>
      </c>
      <c r="G48" s="2">
        <v>1</v>
      </c>
      <c r="H48" s="2">
        <v>1</v>
      </c>
      <c r="I48" s="2">
        <v>1</v>
      </c>
      <c r="J48" s="2">
        <v>2</v>
      </c>
      <c r="K48" s="2">
        <v>0</v>
      </c>
      <c r="L48" s="2" t="s">
        <v>330</v>
      </c>
      <c r="M48" s="2">
        <f t="shared" si="1"/>
        <v>7</v>
      </c>
      <c r="N48" s="3"/>
      <c r="O48" s="2"/>
    </row>
    <row r="49" spans="1:15">
      <c r="A49" s="2" t="s">
        <v>294</v>
      </c>
      <c r="B49" s="2" t="s">
        <v>297</v>
      </c>
      <c r="C49" s="2" t="s">
        <v>42</v>
      </c>
      <c r="D49" s="2" t="s">
        <v>298</v>
      </c>
      <c r="E49" s="2" t="s">
        <v>400</v>
      </c>
      <c r="F49" s="2" t="s">
        <v>298</v>
      </c>
      <c r="G49" s="2">
        <v>1</v>
      </c>
      <c r="H49" s="2">
        <v>1</v>
      </c>
      <c r="I49" s="2">
        <v>1</v>
      </c>
      <c r="J49" s="2">
        <v>2</v>
      </c>
      <c r="K49" s="2">
        <v>0</v>
      </c>
      <c r="L49" s="2" t="s">
        <v>330</v>
      </c>
      <c r="M49" s="2">
        <f t="shared" si="1"/>
        <v>7</v>
      </c>
      <c r="N49" s="3"/>
      <c r="O49" s="2"/>
    </row>
    <row r="50" spans="1:15" ht="28">
      <c r="A50" s="2" t="s">
        <v>300</v>
      </c>
      <c r="B50" s="2" t="s">
        <v>303</v>
      </c>
      <c r="C50" s="2" t="s">
        <v>42</v>
      </c>
      <c r="D50" s="2" t="s">
        <v>304</v>
      </c>
      <c r="E50" s="2" t="s">
        <v>400</v>
      </c>
      <c r="F50" s="2" t="s">
        <v>401</v>
      </c>
      <c r="G50" s="2">
        <v>1</v>
      </c>
      <c r="H50" s="2">
        <v>1</v>
      </c>
      <c r="I50" s="2">
        <v>1</v>
      </c>
      <c r="J50" s="2">
        <v>2</v>
      </c>
      <c r="K50" s="2">
        <v>0</v>
      </c>
      <c r="L50" s="2" t="s">
        <v>330</v>
      </c>
      <c r="M50" s="2">
        <f t="shared" si="1"/>
        <v>7</v>
      </c>
      <c r="N50" s="3"/>
      <c r="O50" s="2"/>
    </row>
    <row r="51" spans="1:15">
      <c r="A51" s="2" t="s">
        <v>306</v>
      </c>
      <c r="B51" s="2" t="s">
        <v>308</v>
      </c>
      <c r="C51" s="2" t="s">
        <v>42</v>
      </c>
      <c r="D51" s="2" t="s">
        <v>309</v>
      </c>
      <c r="E51" s="2" t="s">
        <v>400</v>
      </c>
      <c r="F51" s="2" t="s">
        <v>309</v>
      </c>
      <c r="G51" s="2">
        <v>1</v>
      </c>
      <c r="H51" s="2">
        <v>1</v>
      </c>
      <c r="I51" s="2">
        <v>1</v>
      </c>
      <c r="J51" s="2">
        <v>2</v>
      </c>
      <c r="K51" s="2">
        <v>0</v>
      </c>
      <c r="L51" s="2" t="s">
        <v>330</v>
      </c>
      <c r="M51" s="2">
        <f t="shared" si="1"/>
        <v>7</v>
      </c>
      <c r="N51" s="3"/>
      <c r="O51" s="2"/>
    </row>
    <row r="52" spans="1:15" ht="28">
      <c r="A52" s="2" t="s">
        <v>311</v>
      </c>
      <c r="B52" s="2" t="s">
        <v>314</v>
      </c>
      <c r="C52" s="2" t="s">
        <v>42</v>
      </c>
      <c r="D52" s="2" t="s">
        <v>315</v>
      </c>
      <c r="E52" s="2" t="s">
        <v>400</v>
      </c>
      <c r="F52" s="2" t="s">
        <v>402</v>
      </c>
      <c r="G52" s="2">
        <v>1</v>
      </c>
      <c r="H52" s="2">
        <v>1</v>
      </c>
      <c r="I52" s="2">
        <v>1</v>
      </c>
      <c r="J52" s="2">
        <v>2</v>
      </c>
      <c r="K52" s="2">
        <v>0</v>
      </c>
      <c r="L52" s="2" t="s">
        <v>330</v>
      </c>
      <c r="M52" s="2">
        <f t="shared" si="1"/>
        <v>7</v>
      </c>
      <c r="N52" s="3"/>
      <c r="O52" s="2"/>
    </row>
  </sheetData>
  <mergeCells count="1">
    <mergeCell ref="A1:O1"/>
  </mergeCells>
  <phoneticPr fontId="6" type="noConversion"/>
  <conditionalFormatting sqref="L3:L52">
    <cfRule type="expression" dxfId="0" priority="2">
      <formula>L3="已完成"</formula>
    </cfRule>
  </conditionalFormatting>
  <conditionalFormatting sqref="M3:M52">
    <cfRule type="colorScale" priority="1">
      <colorScale>
        <cfvo type="min"/>
        <cfvo type="percentile" val="50"/>
        <cfvo type="max"/>
        <color rgb="FFF8696B"/>
        <color rgb="FFFFEB84"/>
        <color rgb="FF63BE7B"/>
      </colorScale>
    </cfRule>
  </conditionalFormatting>
  <dataValidations count="3">
    <dataValidation type="list" sqref="K3:K52 G3:I52" xr:uid="{00000000-0002-0000-0200-000000000000}">
      <formula1>"0,1"</formula1>
    </dataValidation>
    <dataValidation type="list" sqref="J3:J52" xr:uid="{00000000-0002-0000-0200-000004000000}">
      <formula1>"0,1,2"</formula1>
    </dataValidation>
    <dataValidation type="list" sqref="L3:L52" xr:uid="{00000000-0002-0000-0200-000005000000}">
      <formula1>"未开始,测试中,已完成,需复测"</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sqref="A1:H1"/>
    </sheetView>
  </sheetViews>
  <sheetFormatPr defaultRowHeight="14"/>
  <cols>
    <col min="1" max="1" width="18" customWidth="1"/>
    <col min="2" max="2" width="16" customWidth="1"/>
    <col min="3" max="3" width="4" customWidth="1"/>
    <col min="4" max="4" width="18" customWidth="1"/>
    <col min="5" max="5" width="16" customWidth="1"/>
    <col min="6" max="6" width="4" customWidth="1"/>
    <col min="7" max="7" width="18" customWidth="1"/>
    <col min="8" max="8" width="16" customWidth="1"/>
  </cols>
  <sheetData>
    <row r="1" spans="1:8" ht="20">
      <c r="A1" s="13" t="s">
        <v>327</v>
      </c>
      <c r="B1" s="13"/>
      <c r="C1" s="13"/>
      <c r="D1" s="13"/>
      <c r="E1" s="13"/>
      <c r="F1" s="13"/>
      <c r="G1" s="13"/>
      <c r="H1" s="13"/>
    </row>
    <row r="2" spans="1:8">
      <c r="A2" s="2"/>
      <c r="B2" s="2"/>
      <c r="C2" s="2"/>
      <c r="D2" s="2"/>
      <c r="E2" s="2"/>
      <c r="F2" s="2"/>
      <c r="G2" s="2"/>
      <c r="H2" s="2"/>
    </row>
    <row r="3" spans="1:8">
      <c r="A3" s="14" t="s">
        <v>328</v>
      </c>
      <c r="B3" s="14"/>
      <c r="C3" s="14"/>
      <c r="D3" s="14"/>
      <c r="E3" s="14"/>
      <c r="F3" s="14"/>
      <c r="G3" s="14"/>
      <c r="H3" s="14"/>
    </row>
    <row r="4" spans="1:8">
      <c r="A4" s="14"/>
      <c r="B4" s="14"/>
      <c r="C4" s="14"/>
      <c r="D4" s="14"/>
      <c r="E4" s="14"/>
      <c r="F4" s="14"/>
      <c r="G4" s="14"/>
      <c r="H4" s="14"/>
    </row>
    <row r="5" spans="1:8">
      <c r="A5" s="2"/>
      <c r="B5" s="2"/>
      <c r="C5" s="2"/>
      <c r="D5" s="2"/>
      <c r="E5" s="2"/>
      <c r="F5" s="2"/>
      <c r="G5" s="2"/>
      <c r="H5" s="2"/>
    </row>
    <row r="6" spans="1:8" ht="19">
      <c r="A6" s="1" t="s">
        <v>329</v>
      </c>
      <c r="B6" s="4">
        <f>COUNTA(评测题集!A3:A52)</f>
        <v>50</v>
      </c>
      <c r="C6" s="2"/>
      <c r="D6" s="1" t="s">
        <v>330</v>
      </c>
      <c r="E6" s="4">
        <f>COUNTIF(评测记录!L3:L52,"已完成")</f>
        <v>50</v>
      </c>
      <c r="F6" s="2"/>
      <c r="G6" s="1" t="s">
        <v>331</v>
      </c>
      <c r="H6" s="5">
        <f>IFERROR(E6/B6,0)</f>
        <v>1</v>
      </c>
    </row>
    <row r="7" spans="1:8">
      <c r="A7" s="2"/>
      <c r="B7" s="2"/>
      <c r="C7" s="2"/>
      <c r="D7" s="2"/>
      <c r="E7" s="2"/>
      <c r="F7" s="2"/>
      <c r="G7" s="2"/>
      <c r="H7" s="2"/>
    </row>
    <row r="8" spans="1:8">
      <c r="A8" s="2"/>
      <c r="B8" s="2"/>
      <c r="C8" s="2"/>
      <c r="D8" s="2"/>
      <c r="E8" s="2"/>
      <c r="F8" s="2"/>
      <c r="G8" s="2"/>
      <c r="H8" s="2"/>
    </row>
    <row r="9" spans="1:8" ht="19">
      <c r="A9" s="1" t="s">
        <v>332</v>
      </c>
      <c r="B9" s="5">
        <f>IFERROR(SUM(评测记录!G3:G52)/E6,0)</f>
        <v>0.9</v>
      </c>
      <c r="C9" s="2"/>
      <c r="D9" s="1" t="s">
        <v>333</v>
      </c>
      <c r="E9" s="5">
        <f>IFERROR(SUM(评测记录!H3:H52)/E6,0)</f>
        <v>1</v>
      </c>
      <c r="F9" s="2"/>
      <c r="G9" s="1" t="s">
        <v>334</v>
      </c>
      <c r="H9" s="5">
        <f>IFERROR(SUM(评测记录!I3:I52)/E6,0)</f>
        <v>1</v>
      </c>
    </row>
    <row r="10" spans="1:8">
      <c r="A10" s="2"/>
      <c r="B10" s="2"/>
      <c r="C10" s="2"/>
      <c r="D10" s="2"/>
      <c r="E10" s="2"/>
      <c r="F10" s="2"/>
      <c r="G10" s="2"/>
      <c r="H10" s="2"/>
    </row>
    <row r="11" spans="1:8">
      <c r="A11" s="2"/>
      <c r="B11" s="2"/>
      <c r="C11" s="2"/>
      <c r="D11" s="2"/>
      <c r="E11" s="2"/>
      <c r="F11" s="2"/>
      <c r="G11" s="2"/>
      <c r="H11" s="2"/>
    </row>
    <row r="12" spans="1:8" ht="19">
      <c r="A12" s="1" t="s">
        <v>335</v>
      </c>
      <c r="B12" s="5">
        <f>IFERROR(SUM(评测记录!J3:J52)/(E6*2),0)</f>
        <v>0.97</v>
      </c>
      <c r="C12" s="2"/>
      <c r="D12" s="1" t="s">
        <v>336</v>
      </c>
      <c r="E12" s="5">
        <f>IFERROR(SUM(评测记录!K3:K52)/E6,0)</f>
        <v>0.02</v>
      </c>
      <c r="F12" s="2"/>
      <c r="G12" s="1" t="s">
        <v>337</v>
      </c>
      <c r="H12" s="6">
        <f>IFERROR(AVERAGEIF(评测记录!L3:L52,"已完成",评测记录!M3:M52),0)</f>
        <v>6.74</v>
      </c>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row r="16" spans="1:8" ht="56">
      <c r="A16" s="1" t="s">
        <v>1</v>
      </c>
      <c r="B16" s="1" t="s">
        <v>338</v>
      </c>
      <c r="C16" s="1" t="s">
        <v>330</v>
      </c>
      <c r="D16" s="1" t="s">
        <v>339</v>
      </c>
      <c r="E16" s="1" t="s">
        <v>340</v>
      </c>
      <c r="F16" s="1" t="s">
        <v>337</v>
      </c>
      <c r="G16" s="2"/>
      <c r="H16" s="2"/>
    </row>
    <row r="17" spans="1:8">
      <c r="A17" s="2" t="s">
        <v>11</v>
      </c>
      <c r="B17" s="2">
        <f>COUNTIF(评测题集!B3:B52,A17)</f>
        <v>10</v>
      </c>
      <c r="C17" s="2">
        <f>COUNTIFS(评测记录!C3:C52,A17,评测记录!L3:L52,"已完成")</f>
        <v>10</v>
      </c>
      <c r="D17" s="7">
        <f>IFERROR(SUMIFS(评测记录!G3:G52,评测记录!C3:C52,A17,评测记录!L3:L52,"已完成")/C17,0)</f>
        <v>1</v>
      </c>
      <c r="E17" s="7">
        <f>IFERROR(SUMIFS(评测记录!H3:H52,评测记录!C3:C52,A17,评测记录!L3:L52,"已完成")/C17,0)</f>
        <v>1</v>
      </c>
      <c r="F17" s="8">
        <f>IFERROR(AVERAGEIFS(评测记录!M3:M52,评测记录!C3:C52,A17,评测记录!L3:L52,"已完成"),0)</f>
        <v>6.6</v>
      </c>
      <c r="G17" s="2"/>
      <c r="H17" s="2"/>
    </row>
    <row r="18" spans="1:8">
      <c r="A18" s="2" t="s">
        <v>21</v>
      </c>
      <c r="B18" s="2">
        <f>COUNTIF(评测题集!B3:B52,A18)</f>
        <v>10</v>
      </c>
      <c r="C18" s="2">
        <f>COUNTIFS(评测记录!C3:C52,A18,评测记录!L3:L52,"已完成")</f>
        <v>10</v>
      </c>
      <c r="D18" s="7">
        <f>IFERROR(SUMIFS(评测记录!G3:G52,评测记录!C3:C52,A18,评测记录!L3:L52,"已完成")/C18,0)</f>
        <v>1</v>
      </c>
      <c r="E18" s="7">
        <f>IFERROR(SUMIFS(评测记录!H3:H52,评测记录!C3:C52,A18,评测记录!L3:L52,"已完成")/C18,0)</f>
        <v>1</v>
      </c>
      <c r="F18" s="8">
        <f>IFERROR(AVERAGEIFS(评测记录!M3:M52,评测记录!C3:C52,A18,评测记录!L3:L52,"已完成"),0)</f>
        <v>7</v>
      </c>
      <c r="G18" s="2"/>
      <c r="H18" s="2"/>
    </row>
    <row r="19" spans="1:8">
      <c r="A19" s="2" t="s">
        <v>27</v>
      </c>
      <c r="B19" s="2">
        <f>COUNTIF(评测题集!B3:B52,A19)</f>
        <v>10</v>
      </c>
      <c r="C19" s="2">
        <f>COUNTIFS(评测记录!C3:C52,A19,评测记录!L3:L52,"已完成")</f>
        <v>10</v>
      </c>
      <c r="D19" s="7">
        <f>IFERROR(SUMIFS(评测记录!G3:G52,评测记录!C3:C52,A19,评测记录!L3:L52,"已完成")/C19,0)</f>
        <v>0.9</v>
      </c>
      <c r="E19" s="7">
        <f>IFERROR(SUMIFS(评测记录!H3:H52,评测记录!C3:C52,A19,评测记录!L3:L52,"已完成")/C19,0)</f>
        <v>1</v>
      </c>
      <c r="F19" s="8">
        <f>IFERROR(AVERAGEIFS(评测记录!M3:M52,评测记录!C3:C52,A19,评测记录!L3:L52,"已完成"),0)</f>
        <v>6.5</v>
      </c>
      <c r="G19" s="2"/>
      <c r="H19" s="2"/>
    </row>
    <row r="20" spans="1:8">
      <c r="A20" s="2" t="s">
        <v>33</v>
      </c>
      <c r="B20" s="2">
        <f>COUNTIF(评测题集!B3:B52,A20)</f>
        <v>10</v>
      </c>
      <c r="C20" s="2">
        <f>COUNTIFS(评测记录!C3:C52,A20,评测记录!L3:L52,"已完成")</f>
        <v>10</v>
      </c>
      <c r="D20" s="7">
        <f>IFERROR(SUMIFS(评测记录!G3:G52,评测记录!C3:C52,A20,评测记录!L3:L52,"已完成")/C20,0)</f>
        <v>0.6</v>
      </c>
      <c r="E20" s="7">
        <f>IFERROR(SUMIFS(评测记录!H3:H52,评测记录!C3:C52,A20,评测记录!L3:L52,"已完成")/C20,0)</f>
        <v>1</v>
      </c>
      <c r="F20" s="8">
        <f>IFERROR(AVERAGEIFS(评测记录!M3:M52,评测记录!C3:C52,A20,评测记录!L3:L52,"已完成"),0)</f>
        <v>6.6</v>
      </c>
      <c r="G20" s="2"/>
      <c r="H20" s="2"/>
    </row>
    <row r="21" spans="1:8">
      <c r="A21" s="2" t="s">
        <v>42</v>
      </c>
      <c r="B21" s="2">
        <f>COUNTIF(评测题集!B3:B52,A21)</f>
        <v>10</v>
      </c>
      <c r="C21" s="2">
        <f>COUNTIFS(评测记录!C3:C52,A21,评测记录!L3:L52,"已完成")</f>
        <v>10</v>
      </c>
      <c r="D21" s="7">
        <f>IFERROR(SUMIFS(评测记录!G3:G52,评测记录!C3:C52,A21,评测记录!L3:L52,"已完成")/C21,0)</f>
        <v>1</v>
      </c>
      <c r="E21" s="7">
        <f>IFERROR(SUMIFS(评测记录!H3:H52,评测记录!C3:C52,A21,评测记录!L3:L52,"已完成")/C21,0)</f>
        <v>1</v>
      </c>
      <c r="F21" s="8">
        <f>IFERROR(AVERAGEIFS(评测记录!M3:M52,评测记录!C3:C52,A21,评测记录!L3:L52,"已完成"),0)</f>
        <v>7</v>
      </c>
      <c r="G21" s="2"/>
      <c r="H21" s="2"/>
    </row>
    <row r="22" spans="1:8">
      <c r="A22" s="2"/>
      <c r="B22" s="2"/>
      <c r="C22" s="2"/>
      <c r="D22" s="2"/>
      <c r="E22" s="2"/>
      <c r="F22" s="2"/>
      <c r="G22" s="2"/>
      <c r="H22" s="2"/>
    </row>
    <row r="23" spans="1:8">
      <c r="A23" s="2"/>
      <c r="B23" s="2"/>
      <c r="C23" s="2"/>
      <c r="D23" s="2"/>
      <c r="E23" s="2"/>
      <c r="F23" s="2"/>
      <c r="G23" s="2"/>
      <c r="H23" s="2"/>
    </row>
    <row r="24" spans="1:8">
      <c r="A24" s="2"/>
      <c r="B24" s="2"/>
      <c r="C24" s="2"/>
      <c r="D24" s="2"/>
      <c r="E24" s="2"/>
      <c r="F24" s="2"/>
      <c r="G24" s="2"/>
      <c r="H24" s="2"/>
    </row>
    <row r="25" spans="1:8">
      <c r="A25" s="2"/>
      <c r="B25" s="2"/>
      <c r="C25" s="2"/>
      <c r="D25" s="2"/>
      <c r="E25" s="2"/>
      <c r="F25" s="2"/>
      <c r="G25" s="2"/>
      <c r="H25" s="2"/>
    </row>
  </sheetData>
  <mergeCells count="2">
    <mergeCell ref="A1:H1"/>
    <mergeCell ref="A3:H4"/>
  </mergeCells>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selection sqref="A1:D1"/>
    </sheetView>
  </sheetViews>
  <sheetFormatPr defaultRowHeight="14"/>
  <cols>
    <col min="1" max="1" width="16" customWidth="1"/>
    <col min="2" max="2" width="24" customWidth="1"/>
    <col min="3" max="3" width="34" customWidth="1"/>
    <col min="4" max="4" width="48" customWidth="1"/>
  </cols>
  <sheetData>
    <row r="1" spans="1:4" ht="20">
      <c r="A1" s="12" t="s">
        <v>341</v>
      </c>
      <c r="B1" s="12"/>
      <c r="C1" s="12"/>
      <c r="D1" s="12"/>
    </row>
    <row r="2" spans="1:4">
      <c r="A2" s="1" t="s">
        <v>342</v>
      </c>
      <c r="B2" s="1" t="s">
        <v>343</v>
      </c>
      <c r="C2" s="1" t="s">
        <v>344</v>
      </c>
      <c r="D2" s="1" t="s">
        <v>345</v>
      </c>
    </row>
    <row r="3" spans="1:4">
      <c r="A3" s="2" t="s">
        <v>346</v>
      </c>
      <c r="B3" s="2" t="s">
        <v>347</v>
      </c>
      <c r="C3" s="2" t="s">
        <v>348</v>
      </c>
      <c r="D3" s="2" t="s">
        <v>349</v>
      </c>
    </row>
    <row r="4" spans="1:4">
      <c r="A4" s="2" t="s">
        <v>350</v>
      </c>
      <c r="B4" s="2" t="s">
        <v>351</v>
      </c>
      <c r="C4" s="2" t="s">
        <v>352</v>
      </c>
      <c r="D4" s="2" t="s">
        <v>353</v>
      </c>
    </row>
    <row r="5" spans="1:4">
      <c r="A5" s="2" t="s">
        <v>350</v>
      </c>
      <c r="B5" s="2" t="s">
        <v>354</v>
      </c>
      <c r="C5" s="2" t="s">
        <v>355</v>
      </c>
      <c r="D5" s="2" t="s">
        <v>356</v>
      </c>
    </row>
    <row r="6" spans="1:4">
      <c r="A6" s="2" t="s">
        <v>350</v>
      </c>
      <c r="B6" s="2" t="s">
        <v>357</v>
      </c>
      <c r="C6" s="2" t="s">
        <v>358</v>
      </c>
      <c r="D6" s="2" t="s">
        <v>359</v>
      </c>
    </row>
    <row r="7" spans="1:4">
      <c r="A7" s="2" t="s">
        <v>360</v>
      </c>
      <c r="B7" s="2" t="s">
        <v>361</v>
      </c>
      <c r="C7" s="2" t="s">
        <v>362</v>
      </c>
      <c r="D7" s="2" t="s">
        <v>363</v>
      </c>
    </row>
    <row r="8" spans="1:4">
      <c r="A8" s="2" t="s">
        <v>360</v>
      </c>
      <c r="B8" s="2" t="s">
        <v>364</v>
      </c>
      <c r="C8" s="2" t="s">
        <v>365</v>
      </c>
      <c r="D8" s="2" t="s">
        <v>366</v>
      </c>
    </row>
    <row r="9" spans="1:4">
      <c r="A9" s="2" t="s">
        <v>360</v>
      </c>
      <c r="B9" s="2" t="s">
        <v>367</v>
      </c>
      <c r="C9" s="2" t="s">
        <v>368</v>
      </c>
      <c r="D9" s="2" t="s">
        <v>369</v>
      </c>
    </row>
    <row r="10" spans="1:4">
      <c r="A10" s="2" t="s">
        <v>360</v>
      </c>
      <c r="B10" s="2" t="s">
        <v>370</v>
      </c>
      <c r="C10" s="2" t="s">
        <v>371</v>
      </c>
      <c r="D10" s="2" t="s">
        <v>372</v>
      </c>
    </row>
    <row r="11" spans="1:4">
      <c r="A11" s="2" t="s">
        <v>360</v>
      </c>
      <c r="B11" s="2" t="s">
        <v>373</v>
      </c>
      <c r="C11" s="2" t="s">
        <v>374</v>
      </c>
      <c r="D11" s="2" t="s">
        <v>375</v>
      </c>
    </row>
    <row r="12" spans="1:4">
      <c r="A12" s="2" t="s">
        <v>33</v>
      </c>
      <c r="B12" s="2" t="s">
        <v>376</v>
      </c>
      <c r="C12" s="2" t="s">
        <v>377</v>
      </c>
      <c r="D12" s="2" t="s">
        <v>378</v>
      </c>
    </row>
    <row r="13" spans="1:4">
      <c r="A13" s="2" t="s">
        <v>379</v>
      </c>
      <c r="B13" s="2" t="s">
        <v>380</v>
      </c>
      <c r="C13" s="2" t="s">
        <v>381</v>
      </c>
      <c r="D13" s="2" t="s">
        <v>382</v>
      </c>
    </row>
    <row r="14" spans="1:4">
      <c r="A14" s="2" t="s">
        <v>383</v>
      </c>
      <c r="B14" s="2" t="s">
        <v>325</v>
      </c>
      <c r="C14" s="2" t="s">
        <v>384</v>
      </c>
      <c r="D14" s="2" t="s">
        <v>385</v>
      </c>
    </row>
  </sheetData>
  <mergeCells count="1">
    <mergeCell ref="A1:D1"/>
  </mergeCells>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文档目录</vt:lpstr>
      <vt:lpstr>评测题集</vt:lpstr>
      <vt:lpstr>评测记录</vt:lpstr>
      <vt:lpstr>指标看板</vt:lpstr>
      <vt:lpstr>参数记录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洋 汪</cp:lastModifiedBy>
  <dcterms:modified xsi:type="dcterms:W3CDTF">2026-07-20T05:17:18Z</dcterms:modified>
</cp:coreProperties>
</file>