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37ed2125104d79" /></Relationships>
</file>

<file path=xl/workbook.xml><?xml version="1.0" encoding="utf-8"?>
<x:workbook xmlns:x="http://schemas.openxmlformats.org/spreadsheetml/2006/main">
  <x:sheets>
    <x:sheet xmlns:r="http://schemas.openxmlformats.org/officeDocument/2006/relationships" name="文档目录" sheetId="1" r:id="Rd7c8e694cc044d40"/>
    <x:sheet xmlns:r="http://schemas.openxmlformats.org/officeDocument/2006/relationships" name="评测题集" sheetId="2" r:id="R260dc09342124015"/>
    <x:sheet xmlns:r="http://schemas.openxmlformats.org/officeDocument/2006/relationships" name="评测记录" sheetId="3" r:id="Rfcbc04fd87184e59"/>
    <x:sheet xmlns:r="http://schemas.openxmlformats.org/officeDocument/2006/relationships" name="指标看板" sheetId="4" r:id="Rc4ed3fe75ab34b75"/>
    <x:sheet xmlns:r="http://schemas.openxmlformats.org/officeDocument/2006/relationships" name="参数记录" sheetId="5" r:id="R5838afeb931b4b5c"/>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yyyy-mm-dd"/>
    <x:numFmt numFmtId="202" formatCode="0.0%"/>
    <x:numFmt numFmtId="203" formatCode="0.00"/>
    <x:numFmt numFmtId="204" formatCode="0.0"/>
  </x:numFmts>
  <x:fonts count="6">
    <x:font>
      <x:sz val="11"/>
      <x:name val="Carlito"/>
    </x:font>
    <x:font>
      <x:b/>
      <x:sz val="16"/>
      <x:color rgb="FFFFFFFF"/>
      <x:name val="Microsoft YaHei"/>
    </x:font>
    <x:font>
      <x:b/>
      <x:sz val="10"/>
      <x:color rgb="FFFFFFFF"/>
      <x:name val="Microsoft YaHei"/>
    </x:font>
    <x:font>
      <x:sz val="9"/>
      <x:color rgb="FF1F2937"/>
      <x:name val="Microsoft YaHei"/>
    </x:font>
    <x:font>
      <x:b/>
      <x:sz val="12"/>
      <x:color rgb="FF1F4E78"/>
      <x:name val="Microsoft YaHei"/>
    </x:font>
    <x:font>
      <x:sz val="10"/>
      <x:color rgb="FF5B6573"/>
      <x:name val="Microsoft YaHei"/>
    </x:font>
  </x:fonts>
  <x:fills count="10">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EAF3F8"/>
      </x:patternFill>
    </x:fill>
    <x:fill>
      <x:patternFill patternType="solid">
        <x:fgColor rgb="FFFFFFFF"/>
      </x:patternFill>
    </x:fill>
    <x:fill>
      <x:patternFill patternType="solid">
        <x:fgColor rgb="FFFFF2CC"/>
      </x:patternFill>
    </x:fill>
    <x:fill>
      <x:patternFill patternType="solid">
        <x:fgColor rgb="FFE7E6E6"/>
      </x:patternFill>
    </x:fill>
    <x:fill>
      <x:patternFill patternType="solid">
        <x:fgColor rgb="FFDDEBF7"/>
      </x:patternFill>
    </x:fill>
    <x:fill>
      <x:patternFill patternType="solid">
        <x:fgColor rgb="FFE2F0D9"/>
      </x:patternFill>
    </x:fill>
  </x:fills>
  <x:borders count="11">
    <x:border/>
    <x:border>
      <x:left style="thin">
        <x:color rgb="FFB4C7DC"/>
      </x:left>
      <x:right style="thin">
        <x:color rgb="FFB4C7DC"/>
      </x:right>
      <x:top style="thin">
        <x:color rgb="FFB4C7DC"/>
      </x:top>
      <x:bottom style="thin">
        <x:color rgb="FFB4C7DC"/>
      </x:bottom>
    </x:border>
    <x:border>
      <x:left style="thin">
        <x:color rgb="FFD9E2F3"/>
      </x:left>
      <x:right style="thin">
        <x:color rgb="FFD9E2F3"/>
      </x:right>
      <x:top style="thin">
        <x:color rgb="FFD9E2F3"/>
      </x:top>
      <x:bottom style="thin">
        <x:color rgb="FFD9E2F3"/>
      </x:bottom>
    </x:border>
    <x:border>
      <x:left style="thin">
        <x:color rgb="FFB4C7DC"/>
      </x:left>
      <x:top style="thin">
        <x:color rgb="FFB4C7DC"/>
      </x:top>
    </x:border>
    <x:border>
      <x:top style="thin">
        <x:color rgb="FFB4C7DC"/>
      </x:top>
    </x:border>
    <x:border>
      <x:right style="thin">
        <x:color rgb="FFB4C7DC"/>
      </x:right>
      <x:top style="thin">
        <x:color rgb="FFB4C7DC"/>
      </x:top>
    </x:border>
    <x:border>
      <x:left style="thin">
        <x:color rgb="FFB4C7DC"/>
      </x:left>
    </x:border>
    <x:border>
      <x:right style="thin">
        <x:color rgb="FFB4C7DC"/>
      </x:right>
    </x:border>
    <x:border>
      <x:left style="thin">
        <x:color rgb="FFB4C7DC"/>
      </x:left>
      <x:bottom style="thin">
        <x:color rgb="FFB4C7DC"/>
      </x:bottom>
    </x:border>
    <x:border>
      <x:bottom style="thin">
        <x:color rgb="FFB4C7DC"/>
      </x:bottom>
    </x:border>
    <x:border>
      <x:right style="thin">
        <x:color rgb="FFB4C7DC"/>
      </x:right>
      <x:bottom style="thin">
        <x:color rgb="FFB4C7DC"/>
      </x:bottom>
    </x:border>
  </x:borders>
  <x:cellStyleXfs count="1">
    <x:xf numFmtId="0" fontId="0" fillId="0" borderId="0"/>
  </x:cellStyleXfs>
  <x:cellXfs count="6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wrapText="1"/>
    </x:xf>
    <x:xf numFmtId="0" fontId="3" fillId="0" borderId="2" xfId="0" applyNumberFormat="1" applyFont="1" applyFill="1" applyBorder="1" applyAlignment="1">
      <x:alignment vertical="top" wrapText="1"/>
    </x:xf>
    <x:xf numFmtId="0" fontId="3" fillId="4" borderId="2"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3" fillId="5" borderId="2" xfId="0" applyNumberFormat="1" applyFont="1" applyFill="1" applyBorder="1" applyAlignment="1">
      <x:alignment horizontal="center" vertical="top" wrapText="1"/>
    </x:xf>
    <x:xf numFmtId="200" fontId="3" fillId="4" borderId="2" xfId="0" applyNumberFormat="1" applyFont="1" applyFill="1" applyBorder="1" applyAlignment="1">
      <x:alignment horizontal="center" vertical="top" wrapText="1"/>
    </x:xf>
    <x:xf numFmtId="200" fontId="3" fillId="5" borderId="2" xfId="0" applyNumberFormat="1" applyFont="1" applyFill="1" applyBorder="1" applyAlignment="1">
      <x:alignment horizontal="center" vertical="top" wrapText="1"/>
    </x:xf>
    <x:xf numFmtId="0" fontId="3" fillId="6" borderId="2" xfId="0" applyNumberFormat="1" applyFont="1" applyFill="1" applyBorder="1" applyAlignment="1">
      <x:alignment horizontal="center" vertical="top" wrapText="1"/>
    </x:xf>
    <x:xf numFmtId="0" fontId="3" fillId="6" borderId="2" xfId="0" applyNumberFormat="1" applyFont="1" applyFill="1" applyBorder="1" applyAlignment="1">
      <x:alignment vertical="top" wrapText="1"/>
    </x:xf>
    <x:xf numFmtId="0" fontId="3" fillId="7" borderId="2" xfId="0" applyNumberFormat="1" applyFont="1" applyFill="1" applyBorder="1" applyAlignment="1">
      <x:alignment vertical="top" wrapText="1"/>
    </x:xf>
    <x:xf numFmtId="0" fontId="3" fillId="7" borderId="2" xfId="0" applyNumberFormat="1" applyFont="1" applyFill="1" applyBorder="1" applyAlignment="1">
      <x:alignment horizontal="center" vertical="top" wrapText="1"/>
    </x:xf>
    <x:xf numFmtId="201" fontId="3" fillId="6" borderId="2" xfId="0" applyNumberFormat="1" applyFont="1" applyFill="1" applyBorder="1" applyAlignment="1">
      <x:alignment horizontal="center" vertical="top" wrapText="1"/>
    </x:xf>
    <x:xf numFmtId="0" fontId="3" fillId="8" borderId="2" xfId="0" applyNumberFormat="1" applyFont="1" applyFill="1" applyBorder="1" applyAlignment="1">
      <x:alignment vertical="top" wrapText="1"/>
    </x:xf>
    <x:xf numFmtId="200" fontId="3" fillId="5" borderId="2" xfId="0" applyNumberFormat="1" applyFont="1" applyFill="1" applyBorder="1" applyAlignment="1">
      <x:alignment vertical="top" wrapText="1"/>
    </x:xf>
    <x:xf numFmtId="202" fontId="3" fillId="5" borderId="2" xfId="0" applyNumberFormat="1" applyFont="1" applyFill="1" applyBorder="1" applyAlignment="1">
      <x:alignment vertical="top" wrapText="1"/>
    </x:xf>
    <x:xf numFmtId="203" fontId="3" fillId="5" borderId="2" xfId="0" applyNumberFormat="1" applyFont="1" applyFill="1" applyBorder="1" applyAlignment="1">
      <x:alignment vertical="top" wrapText="1"/>
    </x:xf>
    <x:xf numFmtId="200" fontId="4" fillId="5" borderId="2" xfId="0" applyNumberFormat="1" applyFont="1" applyFill="1" applyBorder="1" applyAlignment="1">
      <x:alignment vertical="top" wrapText="1"/>
    </x:xf>
    <x:xf numFmtId="202" fontId="4" fillId="5" borderId="2" xfId="0" applyNumberFormat="1" applyFont="1" applyFill="1" applyBorder="1" applyAlignment="1">
      <x:alignment vertical="top" wrapText="1"/>
    </x:xf>
    <x:xf numFmtId="203" fontId="4" fillId="5" borderId="2" xfId="0" applyNumberFormat="1" applyFont="1" applyFill="1" applyBorder="1" applyAlignment="1">
      <x:alignment vertical="top" wrapText="1"/>
    </x:xf>
    <x:xf numFmtId="0" fontId="0" fillId="5" borderId="0" xfId="0" applyNumberFormat="1" applyFont="1" applyFill="1" applyBorder="1"/>
    <x:xf numFmtId="200" fontId="4" fillId="4" borderId="2" xfId="0" applyNumberFormat="1" applyFont="1" applyFill="1" applyBorder="1" applyAlignment="1">
      <x:alignment vertical="top" wrapText="1"/>
    </x:xf>
    <x:xf numFmtId="0" fontId="0" fillId="4" borderId="0" xfId="0" applyNumberFormat="1" applyFont="1" applyFill="1" applyBorder="1"/>
    <x:xf numFmtId="202" fontId="4" fillId="4" borderId="2" xfId="0" applyNumberFormat="1" applyFont="1" applyFill="1" applyBorder="1" applyAlignment="1">
      <x:alignment vertical="top" wrapText="1"/>
    </x:xf>
    <x:xf numFmtId="203" fontId="4" fillId="4" borderId="2" xfId="0" applyNumberFormat="1" applyFont="1" applyFill="1" applyBorder="1" applyAlignment="1">
      <x:alignment vertical="top" wrapText="1"/>
    </x:xf>
    <x:xf numFmtId="0" fontId="3" fillId="9" borderId="2" xfId="0" applyNumberFormat="1" applyFont="1" applyFill="1" applyBorder="1" applyAlignment="1">
      <x:alignment vertical="top" wrapText="1"/>
    </x:xf>
    <x:xf numFmtId="0" fontId="5" fillId="4" borderId="0" xfId="0" applyNumberFormat="1" applyFont="1" applyFill="1" applyBorder="1"/>
    <x:xf numFmtId="0" fontId="5" fillId="4" borderId="3" xfId="0" applyNumberFormat="1" applyFont="1" applyFill="1" applyBorder="1"/>
    <x:xf numFmtId="0" fontId="5" fillId="4" borderId="4" xfId="0" applyNumberFormat="1" applyFont="1" applyFill="1" applyBorder="1"/>
    <x:xf numFmtId="0" fontId="5" fillId="4" borderId="5" xfId="0" applyNumberFormat="1" applyFont="1" applyFill="1" applyBorder="1"/>
    <x:xf numFmtId="0" fontId="5" fillId="4" borderId="6" xfId="0" applyNumberFormat="1" applyFont="1" applyFill="1" applyBorder="1"/>
    <x:xf numFmtId="0" fontId="5" fillId="4" borderId="7" xfId="0" applyNumberFormat="1" applyFont="1" applyFill="1" applyBorder="1"/>
    <x:xf numFmtId="0" fontId="5" fillId="4" borderId="8" xfId="0" applyNumberFormat="1" applyFont="1" applyFill="1" applyBorder="1"/>
    <x:xf numFmtId="0" fontId="5" fillId="4" borderId="9" xfId="0" applyNumberFormat="1" applyFont="1" applyFill="1" applyBorder="1"/>
    <x:xf numFmtId="0" fontId="5" fillId="4" borderId="10" xfId="0" applyNumberFormat="1" applyFont="1" applyFill="1" applyBorder="1"/>
    <x:xf numFmtId="0" fontId="5" fillId="4" borderId="3" xfId="0" applyNumberFormat="1" applyFont="1" applyFill="1" applyBorder="1" applyAlignment="1">
      <x:alignment wrapText="1"/>
    </x:xf>
    <x:xf numFmtId="0" fontId="5" fillId="4" borderId="4" xfId="0" applyNumberFormat="1" applyFont="1" applyFill="1" applyBorder="1" applyAlignment="1">
      <x:alignment wrapText="1"/>
    </x:xf>
    <x:xf numFmtId="0" fontId="5" fillId="4" borderId="5" xfId="0" applyNumberFormat="1" applyFont="1" applyFill="1" applyBorder="1" applyAlignment="1">
      <x:alignment wrapText="1"/>
    </x:xf>
    <x:xf numFmtId="0" fontId="5" fillId="4" borderId="6"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7" xfId="0" applyNumberFormat="1" applyFont="1" applyFill="1" applyBorder="1" applyAlignment="1">
      <x:alignment wrapText="1"/>
    </x:xf>
    <x:xf numFmtId="0" fontId="5" fillId="4" borderId="8" xfId="0" applyNumberFormat="1" applyFont="1" applyFill="1" applyBorder="1" applyAlignment="1">
      <x:alignment wrapText="1"/>
    </x:xf>
    <x:xf numFmtId="0" fontId="5" fillId="4" borderId="9" xfId="0" applyNumberFormat="1" applyFont="1" applyFill="1" applyBorder="1" applyAlignment="1">
      <x:alignment wrapText="1"/>
    </x:xf>
    <x:xf numFmtId="0" fontId="5" fillId="4" borderId="10" xfId="0" applyNumberFormat="1" applyFont="1" applyFill="1" applyBorder="1" applyAlignment="1">
      <x:alignment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5" fillId="4" borderId="6"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4" borderId="7" xfId="0" applyNumberFormat="1" applyFont="1" applyFill="1" applyBorder="1" applyAlignment="1">
      <x:alignment vertical="center" wrapText="1"/>
    </x:xf>
    <x:xf numFmtId="0" fontId="5" fillId="4" borderId="8"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5" fillId="4" borderId="10" xfId="0" applyNumberFormat="1" applyFont="1" applyFill="1" applyBorder="1" applyAlignment="1">
      <x:alignment vertical="center" wrapText="1"/>
    </x:xf>
    <x:xf numFmtId="204" fontId="3" fillId="5" borderId="2" xfId="0" applyNumberFormat="1" applyFont="1" applyFill="1" applyBorder="1" applyAlignment="1">
      <x:alignment vertical="top" wrapText="1"/>
    </x:xf>
    <x:xf numFmtId="204" fontId="3" fillId="4" borderId="2" xfId="0" applyNumberFormat="1" applyFont="1" applyFill="1" applyBorder="1" applyAlignment="1">
      <x:alignment vertical="top" wrapText="1"/>
    </x:xf>
    <x:xf numFmtId="204" fontId="3" fillId="6"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584da6a0074371" /><Relationship Type="http://schemas.openxmlformats.org/officeDocument/2006/relationships/theme" Target="/xl/theme/theme1.xml" Id="Rcc9c2e7c00bb4229" /><Relationship Type="http://schemas.openxmlformats.org/officeDocument/2006/relationships/sharedStrings" Target="/xl/sharedStrings.xml" Id="R5dc7373d1a0f4b0f" /><Relationship Type="http://schemas.openxmlformats.org/officeDocument/2006/relationships/worksheet" Target="/xl/worksheets/sheet1.xml" Id="Rd7c8e694cc044d40" /><Relationship Type="http://schemas.openxmlformats.org/officeDocument/2006/relationships/worksheet" Target="/xl/worksheets/sheet2.xml" Id="R260dc09342124015" /><Relationship Type="http://schemas.openxmlformats.org/officeDocument/2006/relationships/worksheet" Target="/xl/worksheets/sheet3.xml" Id="Rfcbc04fd87184e59" /><Relationship Type="http://schemas.openxmlformats.org/officeDocument/2006/relationships/worksheet" Target="/xl/worksheets/sheet4.xml" Id="Rc4ed3fe75ab34b75" /><Relationship Type="http://schemas.openxmlformats.org/officeDocument/2006/relationships/worksheet" Target="/xl/worksheets/sheet5.xml" Id="R5838afeb931b4b5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44" hidden="0" customWidth="1"/>
    <x:col min="4" max="4" width="16" hidden="0" customWidth="1"/>
    <x:col min="5" max="5" width="10" hidden="0" customWidth="1"/>
    <x:col min="6" max="6" width="48" hidden="0" customWidth="1"/>
    <x:col min="7" max="7" width="10" hidden="0" customWidth="1"/>
    <x:col min="8" max="8" width="16" hidden="0" customWidth="1"/>
    <x:col min="9" max="9" width="10" hidden="0" customWidth="1"/>
  </x:cols>
  <x:sheetData>
    <x:row r="1" ht="30" customHeight="1">
      <x:c r="A1" s="4" t="str">
        <x:v>官方扩充评测文档目录（DOC006—DOC013、DOC015—DOC016）</x:v>
      </x:c>
      <x:c r="B1" s="4"/>
      <x:c r="C1" s="4"/>
      <x:c r="D1" s="4"/>
      <x:c r="E1" s="4"/>
      <x:c r="F1" s="4"/>
      <x:c r="G1" s="4"/>
      <x:c r="H1" s="4"/>
      <x:c r="I1" s="4"/>
    </x:row>
    <x:row r="2">
      <x:c r="A2" s="10" t="str">
        <x:v>文档代码</x:v>
      </x:c>
      <x:c r="B2" s="10" t="str">
        <x:v>知识库文件</x:v>
      </x:c>
      <x:c r="C2" s="10" t="str">
        <x:v>文件名称</x:v>
      </x:c>
      <x:c r="D2" s="10" t="str">
        <x:v>发布机构</x:v>
      </x:c>
      <x:c r="E2" s="10" t="str">
        <x:v>年份</x:v>
      </x:c>
      <x:c r="F2" s="10" t="str">
        <x:v>主要覆盖范围</x:v>
      </x:c>
      <x:c r="G2" s="10" t="str">
        <x:v>语言</x:v>
      </x:c>
      <x:c r="H2" s="10" t="str">
        <x:v>知识库状态</x:v>
      </x:c>
      <x:c r="I2" s="10" t="str">
        <x:v>题数</x:v>
      </x:c>
    </x:row>
    <x:row r="3" ht="42" customHeight="1">
      <x:c r="A3" s="17" t="str">
        <x:v>DOC006</x:v>
      </x:c>
      <x:c r="B3" s="15" t="str">
        <x:v>DOC006_NMPA_usability_engineering_guidance_2024.docx</x:v>
      </x:c>
      <x:c r="C3" s="15" t="str">
        <x:v>医疗器械可用性工程注册审查指导原则</x:v>
      </x:c>
      <x:c r="D3" s="17" t="str">
        <x:v>NMPA/CMDE</x:v>
      </x:c>
      <x:c r="E3" s="19" t="n">
        <x:v>2024</x:v>
      </x:c>
      <x:c r="F3" s="15" t="str">
        <x:v>可用性工程、用户界面验证确认、使用风险和注册资料</x:v>
      </x:c>
      <x:c r="G3" s="17" t="str">
        <x:v>中文</x:v>
      </x:c>
      <x:c r="H3" s="17" t="str">
        <x:v>启用</x:v>
      </x:c>
      <x:c r="I3" s="19" t="n">
        <x:v>10</x:v>
      </x:c>
    </x:row>
    <x:row r="4" ht="42" customHeight="1">
      <x:c r="A4" s="18" t="str">
        <x:v>DOC007</x:v>
      </x:c>
      <x:c r="B4" s="16" t="str">
        <x:v>DOC007_CMDE_mobile_medical_device_guidance_2025.docx</x:v>
      </x:c>
      <x:c r="C4" s="16" t="str">
        <x:v>移动医疗器械注册审查指导原则（2025年修订版）</x:v>
      </x:c>
      <x:c r="D4" s="18" t="str">
        <x:v>NMPA/CMDE</x:v>
      </x:c>
      <x:c r="E4" s="20" t="n">
        <x:v>2025</x:v>
      </x:c>
      <x:c r="F4" s="16" t="str">
        <x:v>移动终端、显示、电池、外部软件环境和移动场景</x:v>
      </x:c>
      <x:c r="G4" s="18" t="str">
        <x:v>中文</x:v>
      </x:c>
      <x:c r="H4" s="18" t="str">
        <x:v>启用</x:v>
      </x:c>
      <x:c r="I4" s="20" t="n">
        <x:v>8</x:v>
      </x:c>
    </x:row>
    <x:row r="5" ht="42" customHeight="1">
      <x:c r="A5" s="17" t="str">
        <x:v>DOC008</x:v>
      </x:c>
      <x:c r="B5" s="15" t="str">
        <x:v>DOC008_NMPA_product_technical_requirements_guidance_2022.doc</x:v>
      </x:c>
      <x:c r="C5" s="15" t="str">
        <x:v>医疗器械产品技术要求编写指导原则</x:v>
      </x:c>
      <x:c r="D5" s="17" t="str">
        <x:v>NMPA</x:v>
      </x:c>
      <x:c r="E5" s="19" t="n">
        <x:v>2022</x:v>
      </x:c>
      <x:c r="F5" s="15" t="str">
        <x:v>性能指标、检验方法和产品技术要求格式</x:v>
      </x:c>
      <x:c r="G5" s="17" t="str">
        <x:v>中文</x:v>
      </x:c>
      <x:c r="H5" s="17" t="str">
        <x:v>启用</x:v>
      </x:c>
      <x:c r="I5" s="19" t="n">
        <x:v>8</x:v>
      </x:c>
    </x:row>
    <x:row r="6" ht="42" customHeight="1">
      <x:c r="A6" s="18" t="str">
        <x:v>DOC009</x:v>
      </x:c>
      <x:c r="B6" s="16" t="str">
        <x:v>DOC009_FDA_premarket_device_software_functions_2023.pdf</x:v>
      </x:c>
      <x:c r="C6" s="16" t="str">
        <x:v>Content of Premarket Submissions for Device Software Functions</x:v>
      </x:c>
      <x:c r="D6" s="18" t="str">
        <x:v>FDA</x:v>
      </x:c>
      <x:c r="E6" s="20" t="n">
        <x:v>2023</x:v>
      </x:c>
      <x:c r="F6" s="16" t="str">
        <x:v>软件上市前申报、风险管理、SRS/SDS、测试和异常</x:v>
      </x:c>
      <x:c r="G6" s="18" t="str">
        <x:v>英文</x:v>
      </x:c>
      <x:c r="H6" s="18" t="str">
        <x:v>启用</x:v>
      </x:c>
      <x:c r="I6" s="20" t="n">
        <x:v>12</x:v>
      </x:c>
    </x:row>
    <x:row r="7" ht="42" customHeight="1">
      <x:c r="A7" s="17" t="str">
        <x:v>DOC010</x:v>
      </x:c>
      <x:c r="B7" s="15" t="str">
        <x:v>DOC010_FDA_cybersecurity_2026_part01—part08.md</x:v>
      </x:c>
      <x:c r="C7" s="15" t="str">
        <x:v>Cybersecurity in Medical Devices</x:v>
      </x:c>
      <x:c r="D7" s="17" t="str">
        <x:v>FDA</x:v>
      </x:c>
      <x:c r="E7" s="19" t="n">
        <x:v>2026</x:v>
      </x:c>
      <x:c r="F7" s="15" t="str">
        <x:v>SPDF、威胁建模、安全架构、测试、SBOM和上市后漏洞管理</x:v>
      </x:c>
      <x:c r="G7" s="17" t="str">
        <x:v>英文</x:v>
      </x:c>
      <x:c r="H7" s="17" t="str">
        <x:v>启用（8个分卷）</x:v>
      </x:c>
      <x:c r="I7" s="19" t="n">
        <x:v>16</x:v>
      </x:c>
    </x:row>
    <x:row r="8" ht="42" customHeight="1">
      <x:c r="A8" s="18" t="str">
        <x:v>DOC011</x:v>
      </x:c>
      <x:c r="B8" s="16" t="str">
        <x:v>DOC011_FDA_OTS_software_medical_devices_2023.pdf</x:v>
      </x:c>
      <x:c r="C8" s="16" t="str">
        <x:v>Off-The-Shelf Software Use in Medical Devices</x:v>
      </x:c>
      <x:c r="D8" s="18" t="str">
        <x:v>FDA</x:v>
      </x:c>
      <x:c r="E8" s="20" t="n">
        <x:v>2023</x:v>
      </x:c>
      <x:c r="F8" s="16" t="str">
        <x:v>OTS软件识别、配置、验证、维护支持和淘汰风险</x:v>
      </x:c>
      <x:c r="G8" s="18" t="str">
        <x:v>英文</x:v>
      </x:c>
      <x:c r="H8" s="18" t="str">
        <x:v>启用</x:v>
      </x:c>
      <x:c r="I8" s="20" t="n">
        <x:v>10</x:v>
      </x:c>
    </x:row>
    <x:row r="9" ht="42" customHeight="1">
      <x:c r="A9" s="17" t="str">
        <x:v>DOC012</x:v>
      </x:c>
      <x:c r="B9" s="15" t="str">
        <x:v>DOC012 YYT 0664—2020.md</x:v>
      </x:c>
      <x:c r="C9" s="15" t="str">
        <x:v>YY/T 0664—2020 医疗器械软件 软件生存周期过程</x:v>
      </x:c>
      <x:c r="D9" s="17" t="str">
        <x:v>医药行业标准</x:v>
      </x:c>
      <x:c r="E9" s="19" t="n">
        <x:v>2020</x:v>
      </x:c>
      <x:c r="F9" s="15" t="str">
        <x:v>软件安全分级、生存周期、遗留软件和开发策划</x:v>
      </x:c>
      <x:c r="G9" s="17" t="str">
        <x:v>中文</x:v>
      </x:c>
      <x:c r="H9" s="17" t="str">
        <x:v>启用</x:v>
      </x:c>
      <x:c r="I9" s="19" t="n">
        <x:v>10</x:v>
      </x:c>
    </x:row>
    <x:row r="10" ht="42" customHeight="1">
      <x:c r="A10" s="18" t="str">
        <x:v>DOC013</x:v>
      </x:c>
      <x:c r="B10" s="16" t="str">
        <x:v>DOC013_GBT_42062_2022_structured_transcription.md</x:v>
      </x:c>
      <x:c r="C10" s="16" t="str">
        <x:v>GB/T 42062—2022 医疗器械 风险管理对医疗器械的应用</x:v>
      </x:c>
      <x:c r="D10" s="18" t="str">
        <x:v>国家标准</x:v>
      </x:c>
      <x:c r="E10" s="20" t="n">
        <x:v>2022</x:v>
      </x:c>
      <x:c r="F10" s="16" t="str">
        <x:v>全生命周期风险分析、评价、控制和生产后信息</x:v>
      </x:c>
      <x:c r="G10" s="18" t="str">
        <x:v>中文</x:v>
      </x:c>
      <x:c r="H10" s="18" t="str">
        <x:v>启用</x:v>
      </x:c>
      <x:c r="I10" s="20" t="n">
        <x:v>12</x:v>
      </x:c>
    </x:row>
    <x:row r="11" ht="42" customHeight="1">
      <x:c r="A11" s="17" t="str">
        <x:v>DOC015</x:v>
      </x:c>
      <x:c r="B11" s="15" t="str">
        <x:v>DOC015_SAMR_medical_device_adverse_event_monitoring_2018.pdf</x:v>
      </x:c>
      <x:c r="C11" s="15" t="str">
        <x:v>医疗器械不良事件监测和再评价管理办法</x:v>
      </x:c>
      <x:c r="D11" s="17" t="str">
        <x:v>SAMR/NHC</x:v>
      </x:c>
      <x:c r="E11" s="19" t="n">
        <x:v>2018</x:v>
      </x:c>
      <x:c r="F11" s="15" t="str">
        <x:v>不良事件报告、定期风险评价、风险控制和再评价</x:v>
      </x:c>
      <x:c r="G11" s="17" t="str">
        <x:v>中文</x:v>
      </x:c>
      <x:c r="H11" s="17" t="str">
        <x:v>启用</x:v>
      </x:c>
      <x:c r="I11" s="19" t="n">
        <x:v>7</x:v>
      </x:c>
    </x:row>
    <x:row r="12" ht="42" customHeight="1">
      <x:c r="A12" s="18" t="str">
        <x:v>DOC016</x:v>
      </x:c>
      <x:c r="B12" s="16" t="str">
        <x:v>DOC016_SAMR_medical_device_recall_2017.pdf</x:v>
      </x:c>
      <x:c r="C12" s="16" t="str">
        <x:v>医疗器械召回管理办法</x:v>
      </x:c>
      <x:c r="D12" s="18" t="str">
        <x:v>NMPA/SAMR</x:v>
      </x:c>
      <x:c r="E12" s="20" t="n">
        <x:v>2017</x:v>
      </x:c>
      <x:c r="F12" s="16" t="str">
        <x:v>缺陷评估、召回分级、报告时限和召回闭环</x:v>
      </x:c>
      <x:c r="G12" s="18" t="str">
        <x:v>中文</x:v>
      </x:c>
      <x:c r="H12" s="18" t="str">
        <x:v>启用</x:v>
      </x:c>
      <x:c r="I12" s="20" t="n">
        <x:v>7</x:v>
      </x:c>
    </x:row>
  </x:sheetData>
  <x:mergeCells>
    <x:mergeCell ref="A1:I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2" hidden="0" customWidth="1"/>
    <x:col min="3" max="3" width="20" hidden="0" customWidth="1"/>
    <x:col min="4" max="4" width="10" hidden="0" customWidth="1"/>
    <x:col min="5" max="5" width="14" hidden="0" customWidth="1"/>
    <x:col min="6" max="6" width="52" hidden="0" customWidth="1"/>
    <x:col min="7" max="7" width="38" hidden="0" customWidth="1"/>
    <x:col min="8" max="8" width="68" hidden="0" customWidth="1"/>
    <x:col min="9" max="9" width="12" hidden="0" customWidth="1"/>
    <x:col min="10" max="10" width="24" hidden="0" customWidth="1"/>
  </x:cols>
  <x:sheetData>
    <x:row r="1" ht="30" customHeight="1">
      <x:c r="A1" s="4" t="str">
        <x:v>医疗器械软件测试知识库官方扩充评测题集（v1｜100题）</x:v>
      </x:c>
      <x:c r="B1" s="4"/>
      <x:c r="C1" s="4"/>
      <x:c r="D1" s="4"/>
      <x:c r="E1" s="4"/>
      <x:c r="F1" s="4"/>
      <x:c r="G1" s="4"/>
      <x:c r="H1" s="4"/>
      <x:c r="I1" s="4"/>
      <x:c r="J1" s="4"/>
    </x:row>
    <x:row r="2">
      <x:c r="A2" s="10" t="str">
        <x:v>问题ID</x:v>
      </x:c>
      <x:c r="B2" s="10" t="str">
        <x:v>预期文档</x:v>
      </x:c>
      <x:c r="C2" s="10" t="str">
        <x:v>主题</x:v>
      </x:c>
      <x:c r="D2" s="10" t="str">
        <x:v>难度</x:v>
      </x:c>
      <x:c r="E2" s="10" t="str">
        <x:v>问题类型</x:v>
      </x:c>
      <x:c r="F2" s="10" t="str">
        <x:v>评测问题</x:v>
      </x:c>
      <x:c r="G2" s="10" t="str">
        <x:v>预期定位</x:v>
      </x:c>
      <x:c r="H2" s="10" t="str">
        <x:v>标准答案要点</x:v>
      </x:c>
      <x:c r="I2" s="10" t="str">
        <x:v>状态</x:v>
      </x:c>
      <x:c r="J2" s="10" t="str">
        <x:v>备注</x:v>
      </x:c>
    </x:row>
    <x:row r="3" ht="60" customHeight="1">
      <x:c r="A3" s="17" t="str">
        <x:v>E001</x:v>
      </x:c>
      <x:c r="B3" s="17" t="str">
        <x:v>DOC006</x:v>
      </x:c>
      <x:c r="C3" s="17" t="str">
        <x:v>可用性工程适用范围</x:v>
      </x:c>
      <x:c r="D3" s="17" t="str">
        <x:v>基础</x:v>
      </x:c>
      <x:c r="E3" s="17" t="str">
        <x:v>范围问答</x:v>
      </x:c>
      <x:c r="F3" s="15" t="str">
        <x:v>《医疗器械可用性工程注册审查指导原则》适用于哪些医疗器械，明确不适用于哪类产品？</x:v>
      </x:c>
      <x:c r="G3" s="15" t="str">
        <x:v>一、适用范围</x:v>
      </x:c>
      <x:c r="H3" s="15" t="str">
        <x:v>适用于第二类、第三类医疗器械可用性工程的注册申报，不适用于体外诊断试剂；注册申请人可参照其要求开展全部医疗器械的可用性工程工作。</x:v>
      </x:c>
      <x:c r="I3" s="21" t="str">
        <x:v>待测试</x:v>
      </x:c>
      <x:c r="J3" s="22" t="str"/>
    </x:row>
    <x:row r="4" ht="60" customHeight="1">
      <x:c r="A4" s="18" t="str">
        <x:v>E002</x:v>
      </x:c>
      <x:c r="B4" s="18" t="str">
        <x:v>DOC006</x:v>
      </x:c>
      <x:c r="C4" s="18" t="str">
        <x:v>可用性工程核心要素</x:v>
      </x:c>
      <x:c r="D4" s="18" t="str">
        <x:v>基础</x:v>
      </x:c>
      <x:c r="E4" s="18" t="str">
        <x:v>概念问答</x:v>
      </x:c>
      <x:c r="F4" s="16" t="str">
        <x:v>医疗器械可用性工程的三个核心要素是什么，各自主要包括什么内容？</x:v>
      </x:c>
      <x:c r="G4" s="16" t="str">
        <x:v>二、主要概念（二）用户、使用场景和用户界面</x:v>
      </x:c>
      <x:c r="H4" s="16" t="str">
        <x:v>三个核心要素是用户、使用场景和用户界面。用户包括与器械交互的全部人员及用户组特征；使用场景包括使用环境和操作任务；用户界面包括用户与器械人机交互的全部对象及方式。</x:v>
      </x:c>
      <x:c r="I4" s="21" t="str">
        <x:v>待测试</x:v>
      </x:c>
      <x:c r="J4" s="22" t="str"/>
    </x:row>
    <x:row r="5" ht="60" customHeight="1">
      <x:c r="A5" s="17" t="str">
        <x:v>E003</x:v>
      </x:c>
      <x:c r="B5" s="17" t="str">
        <x:v>DOC006</x:v>
      </x:c>
      <x:c r="C5" s="17" t="str">
        <x:v>使用情况与操作情形</x:v>
      </x:c>
      <x:c r="D5" s="17" t="str">
        <x:v>中等</x:v>
      </x:c>
      <x:c r="E5" s="17" t="str">
        <x:v>概念辨析</x:v>
      </x:c>
      <x:c r="F5" s="15" t="str">
        <x:v>正常使用、非正常使用、正确使用和错误使用之间是什么关系？</x:v>
      </x:c>
      <x:c r="G5" s="15" t="str">
        <x:v>二、主要概念（三）医疗器械使用情况和用户操作情形</x:v>
      </x:c>
      <x:c r="H5" s="15" t="str">
        <x:v>使用情况分为正常使用和非正常使用；正常使用是按说明书及常识惯例操作，非正常使用则相反。正常使用按结果又分正确使用和错误使用；错误使用是用户行动或行动缺失导致器械响应异于预期，可能降低安全有效性并需要风险控制。</x:v>
      </x:c>
      <x:c r="I5" s="21" t="str">
        <x:v>待测试</x:v>
      </x:c>
      <x:c r="J5" s="22" t="str"/>
    </x:row>
    <x:row r="6" ht="60" customHeight="1">
      <x:c r="A6" s="18" t="str">
        <x:v>E004</x:v>
      </x:c>
      <x:c r="B6" s="18" t="str">
        <x:v>DOC006</x:v>
      </x:c>
      <x:c r="C6" s="18" t="str">
        <x:v>使用风险分级</x:v>
      </x:c>
      <x:c r="D6" s="18" t="str">
        <x:v>中等</x:v>
      </x:c>
      <x:c r="E6" s="18" t="str">
        <x:v>分级问答</x:v>
      </x:c>
      <x:c r="F6" s="16" t="str">
        <x:v>医疗器械使用风险分为哪三级，分别如何判定？</x:v>
      </x:c>
      <x:c r="G6" s="16" t="str">
        <x:v>三、基本原则（二）使用风险导向</x:v>
      </x:c>
      <x:c r="H6" s="16" t="str">
        <x:v>按伤害严重度分为高、中、低三级：错误使用可能导致严重伤害或死亡为高风险，可能导致轻微伤害为中风险，不可能导致伤害为低风险。高使用风险器械含关键任务，中、低使用风险器械不含关键任务，且应在采取风险控制措施前判定。</x:v>
      </x:c>
      <x:c r="I6" s="21" t="str">
        <x:v>待测试</x:v>
      </x:c>
      <x:c r="J6" s="22" t="str"/>
    </x:row>
    <x:row r="7" ht="60" customHeight="1">
      <x:c r="A7" s="17" t="str">
        <x:v>E005</x:v>
      </x:c>
      <x:c r="B7" s="17" t="str">
        <x:v>DOC006</x:v>
      </x:c>
      <x:c r="C7" s="17" t="str">
        <x:v>可用性工程过程</x:v>
      </x:c>
      <x:c r="D7" s="17" t="str">
        <x:v>中等</x:v>
      </x:c>
      <x:c r="E7" s="17" t="str">
        <x:v>流程问答</x:v>
      </x:c>
      <x:c r="F7" s="15" t="str">
        <x:v>医疗器械可用性工程过程包括哪些活动，哪些活动应贯穿其中？</x:v>
      </x:c>
      <x:c r="G7" s="15" t="str">
        <x:v>四、可用性工程过程</x:v>
      </x:c>
      <x:c r="H7" s="15" t="str">
        <x:v>包括用户界面的需求分析、设计、实现、验证、确认和更改等活动；风险管理和可追溯性分析贯穿其中，每项活动均应形成相应可用性工程文档。</x:v>
      </x:c>
      <x:c r="I7" s="21" t="str">
        <x:v>待测试</x:v>
      </x:c>
      <x:c r="J7" s="22" t="str"/>
    </x:row>
    <x:row r="8" ht="60" customHeight="1">
      <x:c r="A8" s="18" t="str">
        <x:v>E006</x:v>
      </x:c>
      <x:c r="B8" s="18" t="str">
        <x:v>DOC006</x:v>
      </x:c>
      <x:c r="C8" s="18" t="str">
        <x:v>用户界面验证与确认</x:v>
      </x:c>
      <x:c r="D8" s="18" t="str">
        <x:v>中等</x:v>
      </x:c>
      <x:c r="E8" s="18" t="str">
        <x:v>概念辨析</x:v>
      </x:c>
      <x:c r="F8" s="16" t="str">
        <x:v>用户界面验证与用户界面确认有何区别，它们又分别对应哪类可用性评价？</x:v>
      </x:c>
      <x:c r="G8" s="16" t="str">
        <x:v>五、用户界面验证与确认</x:v>
      </x:c>
      <x:c r="H8" s="16" t="str">
        <x:v>用户界面验证用于确认界面符合用户界面设计规范，属于设计验证，又称形成性评价；用户界面确认用于确认界面满足用户界面需求，属于设计确认，又称总结性评价。验证是确认的基础。</x:v>
      </x:c>
      <x:c r="I8" s="21" t="str">
        <x:v>待测试</x:v>
      </x:c>
      <x:c r="J8" s="22" t="str"/>
    </x:row>
    <x:row r="9" ht="60" customHeight="1">
      <x:c r="A9" s="17" t="str">
        <x:v>E007</x:v>
      </x:c>
      <x:c r="B9" s="17" t="str">
        <x:v>DOC006</x:v>
      </x:c>
      <x:c r="C9" s="17" t="str">
        <x:v>临床试验与可用性确认</x:v>
      </x:c>
      <x:c r="D9" s="17" t="str">
        <x:v>中等</x:v>
      </x:c>
      <x:c r="E9" s="17" t="str">
        <x:v>适用判断</x:v>
      </x:c>
      <x:c r="F9" s="15" t="str">
        <x:v>临床试验能否替代用户界面确认测试，为什么？</x:v>
      </x:c>
      <x:c r="G9" s="15" t="str">
        <x:v>六、技术考量（一）临床试验</x:v>
      </x:c>
      <x:c r="H9" s="15" t="str">
        <x:v>通常不能替代，只能作为支持和补充，因为某些关键任务测试可能危及受试者，且临床试验参与人数未必满足总结性可用性测试要求。仅在特殊情况下，临床试验满足总结性可用性测试要求时才可作为用户界面确认测试。</x:v>
      </x:c>
      <x:c r="I9" s="21" t="str">
        <x:v>待测试</x:v>
      </x:c>
      <x:c r="J9" s="22" t="str"/>
    </x:row>
    <x:row r="10" ht="60" customHeight="1">
      <x:c r="A10" s="18" t="str">
        <x:v>E008</x:v>
      </x:c>
      <x:c r="B10" s="18" t="str">
        <x:v>DOC006</x:v>
      </x:c>
      <x:c r="C10" s="18" t="str">
        <x:v>进口医疗器械可用性</x:v>
      </x:c>
      <x:c r="D10" s="18" t="str">
        <x:v>综合</x:v>
      </x:c>
      <x:c r="E10" s="18" t="str">
        <x:v>适用判断</x:v>
      </x:c>
      <x:c r="F10" s="16" t="str">
        <x:v>进口医疗器械为什么原则上需要在中国开展用户界面确认工作？</x:v>
      </x:c>
      <x:c r="G10" s="16" t="str">
        <x:v>六、技术考量（二）进口医疗器械</x:v>
      </x:c>
      <x:c r="H10" s="16" t="str">
        <x:v>因为中外用户、使用场景及可用性工程申报要求可能存在差异，原有用户界面设计未必能保证在中国安全有效使用。原则上应按使用风险级别在中国开展确认，除非有详实材料证明中外差异对确认无显著影响。</x:v>
      </x:c>
      <x:c r="I10" s="21" t="str">
        <x:v>待测试</x:v>
      </x:c>
      <x:c r="J10" s="22" t="str"/>
    </x:row>
    <x:row r="11" ht="60" customHeight="1">
      <x:c r="A11" s="17" t="str">
        <x:v>E009</x:v>
      </x:c>
      <x:c r="B11" s="17" t="str">
        <x:v>DOC006</x:v>
      </x:c>
      <x:c r="C11" s="17" t="str">
        <x:v>现成用户界面</x:v>
      </x:c>
      <x:c r="D11" s="17" t="str">
        <x:v>综合</x:v>
      </x:c>
      <x:c r="E11" s="17" t="str">
        <x:v>控制要求</x:v>
      </x:c>
      <x:c r="F11" s="15" t="str">
        <x:v>使用现成用户界面时应开展哪些可用性工程控制？</x:v>
      </x:c>
      <x:c r="G11" s="15" t="str">
        <x:v>六、技术考量（三）现成用户界面</x:v>
      </x:c>
      <x:c r="H11" s="15" t="str">
        <x:v>应明确质控要求，结合全球上市后使用问题考虑需求分析、验证、确认、风险管理和可追溯性分析，并记录于可用性工程文档。使用多个现成界面时，还应在分别确认安全有效的基础上，从整机角度确认全部自研和现成界面的安全有效性。</x:v>
      </x:c>
      <x:c r="I11" s="21" t="str">
        <x:v>待测试</x:v>
      </x:c>
      <x:c r="J11" s="22" t="str"/>
    </x:row>
    <x:row r="12" ht="60" customHeight="1">
      <x:c r="A12" s="18" t="str">
        <x:v>E010</x:v>
      </x:c>
      <x:c r="B12" s="18" t="str">
        <x:v>DOC006</x:v>
      </x:c>
      <x:c r="C12" s="18" t="str">
        <x:v>可用性注册资料</x:v>
      </x:c>
      <x:c r="D12" s="18" t="str">
        <x:v>综合</x:v>
      </x:c>
      <x:c r="E12" s="18" t="str">
        <x:v>资料要求</x:v>
      </x:c>
      <x:c r="F12" s="16" t="str">
        <x:v>高使用风险与中、低使用风险医疗器械在产品注册时分别应提交什么可用性工程研究资料？</x:v>
      </x:c>
      <x:c r="G12" s="16" t="str">
        <x:v>八、注册申报资料补充说明（一）产品注册</x:v>
      </x:c>
      <x:c r="H12" s="16" t="str">
        <x:v>高使用风险器械提交可用性工程研究报告，其中全新产品原则上提交总结性可用性测试报告，成熟产品可提交等效器械对比评价报告；中、低使用风险器械提交使用错误评估报告，也可用已开展的可用性工程研究报告替代。</x:v>
      </x:c>
      <x:c r="I12" s="21" t="str">
        <x:v>待测试</x:v>
      </x:c>
      <x:c r="J12" s="22" t="str"/>
    </x:row>
    <x:row r="13" ht="60" customHeight="1">
      <x:c r="A13" s="17" t="str">
        <x:v>E011</x:v>
      </x:c>
      <x:c r="B13" s="17" t="str">
        <x:v>DOC007</x:v>
      </x:c>
      <x:c r="C13" s="17" t="str">
        <x:v>移动医疗器械定义</x:v>
      </x:c>
      <x:c r="D13" s="17" t="str">
        <x:v>基础</x:v>
      </x:c>
      <x:c r="E13" s="17" t="str">
        <x:v>概念问答</x:v>
      </x:c>
      <x:c r="F13" s="15" t="str">
        <x:v>什么是移动医疗器械，移动计算终端分为哪两类？</x:v>
      </x:c>
      <x:c r="G13" s="15" t="str">
        <x:v>二、主要概念（一）移动医疗器械</x:v>
      </x:c>
      <x:c r="H13" s="15" t="str">
        <x:v>移动医疗器械是采用移动计算技术，即无创移动计算终端，实现一项或多项医疗用途的医疗器械。移动计算终端分医用终端和通用终端：前者由申请人自制或定制并属于产品组成，后者为采购的商业现成终端且不属于产品组成。</x:v>
      </x:c>
      <x:c r="I13" s="21" t="str">
        <x:v>待测试</x:v>
      </x:c>
      <x:c r="J13" s="22" t="str"/>
    </x:row>
    <x:row r="14" ht="60" customHeight="1">
      <x:c r="A14" s="18" t="str">
        <x:v>E012</x:v>
      </x:c>
      <x:c r="B14" s="18" t="str">
        <x:v>DOC007</x:v>
      </x:c>
      <x:c r="C14" s="18" t="str">
        <x:v>移动终端使用形式</x:v>
      </x:c>
      <x:c r="D14" s="18" t="str">
        <x:v>基础</x:v>
      </x:c>
      <x:c r="E14" s="18" t="str">
        <x:v>分类问答</x:v>
      </x:c>
      <x:c r="F14" s="16" t="str">
        <x:v>移动计算终端有哪些使用形式？请各举一例。</x:v>
      </x:c>
      <x:c r="G14" s="16" t="str">
        <x:v>二、主要概念（一）移动医疗器械</x:v>
      </x:c>
      <x:c r="H14" s="16" t="str">
        <x:v>分为手持式、穿戴式和混合式。手持式如平板电脑、便携式计算机或智能手机；穿戴式如智能眼镜或智能手表；混合式兼具手持和穿戴使用方式。</x:v>
      </x:c>
      <x:c r="I14" s="21" t="str">
        <x:v>待测试</x:v>
      </x:c>
      <x:c r="J14" s="22" t="str"/>
    </x:row>
    <x:row r="15" ht="60" customHeight="1">
      <x:c r="A15" s="17" t="str">
        <x:v>E013</x:v>
      </x:c>
      <x:c r="B15" s="17" t="str">
        <x:v>DOC007</x:v>
      </x:c>
      <x:c r="C15" s="17" t="str">
        <x:v>移动器械类型</x:v>
      </x:c>
      <x:c r="D15" s="17" t="str">
        <x:v>中等</x:v>
      </x:c>
      <x:c r="E15" s="17" t="str">
        <x:v>概念辨析</x:v>
      </x:c>
      <x:c r="F15" s="15" t="str">
        <x:v>移动医疗设备与移动独立软件的主要区别是什么？</x:v>
      </x:c>
      <x:c r="G15" s="15" t="str">
        <x:v>二、主要概念（二）移动医疗器械类型</x:v>
      </x:c>
      <x:c r="H15" s="15" t="str">
        <x:v>移动医疗设备是采用医用或通用移动终端实现医疗用途的医用电气设备，可使用终端自带或外接部件；移动独立软件是采用通用移动计算终端（可含自带传感器）实现医疗用途的独立软件，通用终端不属于产品组成。</x:v>
      </x:c>
      <x:c r="I15" s="21" t="str">
        <x:v>待测试</x:v>
      </x:c>
      <x:c r="J15" s="22" t="str"/>
    </x:row>
    <x:row r="16" ht="60" customHeight="1">
      <x:c r="A16" s="18" t="str">
        <x:v>E014</x:v>
      </x:c>
      <x:c r="B16" s="18" t="str">
        <x:v>DOC007</x:v>
      </x:c>
      <x:c r="C16" s="18" t="str">
        <x:v>显示与环境光</x:v>
      </x:c>
      <x:c r="D16" s="18" t="str">
        <x:v>中等</x:v>
      </x:c>
      <x:c r="E16" s="18" t="str">
        <x:v>技术要求</x:v>
      </x:c>
      <x:c r="F16" s="16" t="str">
        <x:v>移动医疗器械在显示装置和环境光方面应重点考虑哪些要求？</x:v>
      </x:c>
      <x:c r="G16" s="16" t="str">
        <x:v>五、技术考量（一）显示</x:v>
      </x:c>
      <x:c r="H16" s="16" t="str">
        <x:v>应结合预期用途、使用场景和核心功能考虑屏幕尺寸、分辨率、亮度、对比度、视角等显示特性，并评估室内外不同环境光、眩光和反射等对信息可读性及准确性的影响，确保各预期环境下安全有效使用。</x:v>
      </x:c>
      <x:c r="I16" s="21" t="str">
        <x:v>待测试</x:v>
      </x:c>
      <x:c r="J16" s="22" t="str"/>
    </x:row>
    <x:row r="17" ht="60" customHeight="1">
      <x:c r="A17" s="17" t="str">
        <x:v>E015</x:v>
      </x:c>
      <x:c r="B17" s="17" t="str">
        <x:v>DOC007</x:v>
      </x:c>
      <x:c r="C17" s="17" t="str">
        <x:v>电池管理</x:v>
      </x:c>
      <x:c r="D17" s="17" t="str">
        <x:v>中等</x:v>
      </x:c>
      <x:c r="E17" s="17" t="str">
        <x:v>风险控制</x:v>
      </x:c>
      <x:c r="F17" s="15" t="str">
        <x:v>移动医疗器械的电池管理应考虑哪些安全有效性问题？</x:v>
      </x:c>
      <x:c r="G17" s="15" t="str">
        <x:v>五、技术考量（二）电池</x:v>
      </x:c>
      <x:c r="H17" s="15" t="str">
        <x:v>应考虑电池容量、续航时间、充放电、剩余电量和低电量提示、电池故障或断电处理等要求，并结合核心功能和使用场景控制电量不足或异常供电导致的风险。</x:v>
      </x:c>
      <x:c r="I17" s="21" t="str">
        <x:v>待测试</x:v>
      </x:c>
      <x:c r="J17" s="22" t="str"/>
    </x:row>
    <x:row r="18" ht="60" customHeight="1">
      <x:c r="A18" s="18" t="str">
        <x:v>E016</x:v>
      </x:c>
      <x:c r="B18" s="18" t="str">
        <x:v>DOC007</x:v>
      </x:c>
      <x:c r="C18" s="18" t="str">
        <x:v>外部软件环境</x:v>
      </x:c>
      <x:c r="D18" s="18" t="str">
        <x:v>综合</x:v>
      </x:c>
      <x:c r="E18" s="18" t="str">
        <x:v>风险控制</x:v>
      </x:c>
      <x:c r="F18" s="16" t="str">
        <x:v>通用移动计算终端的开放外部软件环境会带来哪些风险，应如何控制？</x:v>
      </x:c>
      <x:c r="G18" s="16" t="str">
        <x:v>五、技术考量（三）外部软件环境</x:v>
      </x:c>
      <x:c r="H18" s="16" t="str">
        <x:v>开放环境可能因操作系统、应用、驱动、权限、升级和后台进程等变化影响兼容性、性能及安全。应明确兼容的软硬件环境、权限和配置要求，开展兼容性与风险评估，控制更新和非预期软件干扰，并向用户说明使用限制。</x:v>
      </x:c>
      <x:c r="I18" s="21" t="str">
        <x:v>待测试</x:v>
      </x:c>
      <x:c r="J18" s="22" t="str"/>
    </x:row>
    <x:row r="19" ht="60" customHeight="1">
      <x:c r="A19" s="17" t="str">
        <x:v>E017</x:v>
      </x:c>
      <x:c r="B19" s="17" t="str">
        <x:v>DOC007</x:v>
      </x:c>
      <x:c r="C19" s="17" t="str">
        <x:v>非专业用户与穿戴使用</x:v>
      </x:c>
      <x:c r="D19" s="17" t="str">
        <x:v>综合</x:v>
      </x:c>
      <x:c r="E19" s="17" t="str">
        <x:v>场景问答</x:v>
      </x:c>
      <x:c r="F19" s="15" t="str">
        <x:v>面向非专业用户或采用穿戴式终端的移动医疗器械，应额外关注哪些设计和测试因素？</x:v>
      </x:c>
      <x:c r="G19" s="15" t="str">
        <x:v>五、技术考量（四）非专业用户使用；（五）穿戴式</x:v>
      </x:c>
      <x:c r="H19" s="15" t="str">
        <x:v>应考虑用户知识、能力和培训限制，家庭或公共场所等复杂环境，以及说明与操作的易理解性；穿戴式还应考虑佩戴位置、人体差异、活动状态、舒适性、固定性、传感器接触和长期使用等因素，并在预期用户和场景下验证。</x:v>
      </x:c>
      <x:c r="I19" s="21" t="str">
        <x:v>待测试</x:v>
      </x:c>
      <x:c r="J19" s="22" t="str"/>
    </x:row>
    <x:row r="20" ht="60" customHeight="1">
      <x:c r="A20" s="18" t="str">
        <x:v>E018</x:v>
      </x:c>
      <x:c r="B20" s="18" t="str">
        <x:v>DOC007</x:v>
      </x:c>
      <x:c r="C20" s="18" t="str">
        <x:v>移动计算终端研究资料</x:v>
      </x:c>
      <x:c r="D20" s="18" t="str">
        <x:v>综合</x:v>
      </x:c>
      <x:c r="E20" s="18" t="str">
        <x:v>资料要求</x:v>
      </x:c>
      <x:c r="F20" s="16" t="str">
        <x:v>移动计算终端研究报告应重点说明哪些内容？</x:v>
      </x:c>
      <x:c r="G20" s="16" t="str">
        <x:v>六、移动计算终端研究资料</x:v>
      </x:c>
      <x:c r="H20" s="16" t="str">
        <x:v>应说明终端类型、型号规格、软硬件配置及选择依据，终端与产品的关系，显示、电池、接口、传感器、外部软件环境、兼容性、网络安全等技术特征和风险控制，并提供相应验证确认资料。</x:v>
      </x:c>
      <x:c r="I20" s="21" t="str">
        <x:v>待测试</x:v>
      </x:c>
      <x:c r="J20" s="22" t="str"/>
    </x:row>
    <x:row r="21" ht="60" customHeight="1">
      <x:c r="A21" s="17" t="str">
        <x:v>E019</x:v>
      </x:c>
      <x:c r="B21" s="17" t="str">
        <x:v>DOC008</x:v>
      </x:c>
      <x:c r="C21" s="17" t="str">
        <x:v>产品技术要求适用范围</x:v>
      </x:c>
      <x:c r="D21" s="17" t="str">
        <x:v>基础</x:v>
      </x:c>
      <x:c r="E21" s="17" t="str">
        <x:v>范围问答</x:v>
      </x:c>
      <x:c r="F21" s="15" t="str">
        <x:v>《医疗器械产品技术要求编写指导原则》适用于什么文件，产品技术要求主要由哪些部分组成？</x:v>
      </x:c>
      <x:c r="G21" s="15" t="str">
        <x:v>一、适用范围；二、基本要求</x:v>
      </x:c>
      <x:c r="H21" s="15" t="str">
        <x:v>适用于医疗器械产品技术要求的编写。产品技术要求通常包括产品型号规格及其划分说明、性能指标和检验方法等内容，并应采用规范、通用的术语。</x:v>
      </x:c>
      <x:c r="I21" s="21" t="str">
        <x:v>待测试</x:v>
      </x:c>
      <x:c r="J21" s="22" t="str"/>
    </x:row>
    <x:row r="22" ht="60" customHeight="1">
      <x:c r="A22" s="18" t="str">
        <x:v>E020</x:v>
      </x:c>
      <x:c r="B22" s="18" t="str">
        <x:v>DOC008</x:v>
      </x:c>
      <x:c r="C22" s="18" t="str">
        <x:v>性能指标</x:v>
      </x:c>
      <x:c r="D22" s="18" t="str">
        <x:v>基础</x:v>
      </x:c>
      <x:c r="E22" s="18" t="str">
        <x:v>概念问答</x:v>
      </x:c>
      <x:c r="F22" s="16" t="str">
        <x:v>产品技术要求中的性能指标应具备哪些基本特征？</x:v>
      </x:c>
      <x:c r="G22" s="16" t="str">
        <x:v>三、性能指标</x:v>
      </x:c>
      <x:c r="H22" s="16" t="str">
        <x:v>性能指标应是可进行客观判定的成品功能性、安全性指标及与质量控制相关的其他指标，要求明确、可量化或可客观验证，并与产品特性和风险相适应。</x:v>
      </x:c>
      <x:c r="I22" s="21" t="str">
        <x:v>待测试</x:v>
      </x:c>
      <x:c r="J22" s="22" t="str"/>
    </x:row>
    <x:row r="23" ht="60" customHeight="1">
      <x:c r="A23" s="17" t="str">
        <x:v>E021</x:v>
      </x:c>
      <x:c r="B23" s="17" t="str">
        <x:v>DOC008</x:v>
      </x:c>
      <x:c r="C23" s="17" t="str">
        <x:v>尺寸与外观指标</x:v>
      </x:c>
      <x:c r="D23" s="17" t="str">
        <x:v>中等</x:v>
      </x:c>
      <x:c r="E23" s="17" t="str">
        <x:v>适用判断</x:v>
      </x:c>
      <x:c r="F23" s="15" t="str">
        <x:v>产品的尺寸、外观等内容是否都必须列入产品技术要求的性能指标？</x:v>
      </x:c>
      <x:c r="G23" s="15" t="str">
        <x:v>三、性能指标</x:v>
      </x:c>
      <x:c r="H23" s="15" t="str">
        <x:v>不是。与安全有效性无直接关系的尺寸、外观等一般可不列入；若尺寸、公差或其他特性会影响产品安全有效性，则应作为性能指标规定并设置相应检验方法。</x:v>
      </x:c>
      <x:c r="I23" s="21" t="str">
        <x:v>待测试</x:v>
      </x:c>
      <x:c r="J23" s="22" t="str"/>
    </x:row>
    <x:row r="24" ht="60" customHeight="1">
      <x:c r="A24" s="18" t="str">
        <x:v>E022</x:v>
      </x:c>
      <x:c r="B24" s="18" t="str">
        <x:v>DOC008</x:v>
      </x:c>
      <x:c r="C24" s="18" t="str">
        <x:v>标准适用性</x:v>
      </x:c>
      <x:c r="D24" s="18" t="str">
        <x:v>中等</x:v>
      </x:c>
      <x:c r="E24" s="18" t="str">
        <x:v>标准应用</x:v>
      </x:c>
      <x:c r="F24" s="16" t="str">
        <x:v>编写产品技术要求时如何处理强制性标准和推荐性标准？</x:v>
      </x:c>
      <x:c r="G24" s="16" t="str">
        <x:v>三、性能指标</x:v>
      </x:c>
      <x:c r="H24" s="16" t="str">
        <x:v>适用的强制性标准条款必须落实；推荐性标准可结合产品特性采用。对标准条款不适用的，应说明不适用理由；产品技术要求还应反映产品自身必须控制且标准未覆盖的性能。</x:v>
      </x:c>
      <x:c r="I24" s="21" t="str">
        <x:v>待测试</x:v>
      </x:c>
      <x:c r="J24" s="22" t="str"/>
    </x:row>
    <x:row r="25" ht="60" customHeight="1">
      <x:c r="A25" s="17" t="str">
        <x:v>E023</x:v>
      </x:c>
      <x:c r="B25" s="17" t="str">
        <x:v>DOC008</x:v>
      </x:c>
      <x:c r="C25" s="17" t="str">
        <x:v>性能要求表达</x:v>
      </x:c>
      <x:c r="D25" s="17" t="str">
        <x:v>中等</x:v>
      </x:c>
      <x:c r="E25" s="17" t="str">
        <x:v>编写要求</x:v>
      </x:c>
      <x:c r="F25" s="15" t="str">
        <x:v>产品技术要求中的性能指标能否只写“见附件”“按供货合同”或引用研究资料？</x:v>
      </x:c>
      <x:c r="G25" s="15" t="str">
        <x:v>三、性能指标</x:v>
      </x:c>
      <x:c r="H25" s="15" t="str">
        <x:v>不能以附件、供货合同或研究资料代替应在产品技术要求中明确的性能指标。性能要求应在文件中直接、清晰地规定，保证可判定、可检验和注册后可执行。</x:v>
      </x:c>
      <x:c r="I25" s="21" t="str">
        <x:v>待测试</x:v>
      </x:c>
      <x:c r="J25" s="22" t="str"/>
    </x:row>
    <x:row r="26" ht="60" customHeight="1">
      <x:c r="A26" s="18" t="str">
        <x:v>E024</x:v>
      </x:c>
      <x:c r="B26" s="18" t="str">
        <x:v>DOC008</x:v>
      </x:c>
      <x:c r="C26" s="18" t="str">
        <x:v>检验方法匹配</x:v>
      </x:c>
      <x:c r="D26" s="18" t="str">
        <x:v>中等</x:v>
      </x:c>
      <x:c r="E26" s="18" t="str">
        <x:v>检验设计</x:v>
      </x:c>
      <x:c r="F26" s="16" t="str">
        <x:v>产品技术要求中的检验方法应如何与性能指标匹配？</x:v>
      </x:c>
      <x:c r="G26" s="16" t="str">
        <x:v>四、检验方法</x:v>
      </x:c>
      <x:c r="H26" s="16" t="str">
        <x:v>每项性能指标原则上应有相应检验方法，方法应具有可操作性和可重复性，能客观判定指标是否符合。应优先采用已颁布的标准方法；采用自建方法时应说明并进行必要的方法学验证。</x:v>
      </x:c>
      <x:c r="I26" s="21" t="str">
        <x:v>待测试</x:v>
      </x:c>
      <x:c r="J26" s="22" t="str"/>
    </x:row>
    <x:row r="27" ht="60" customHeight="1">
      <x:c r="A27" s="17" t="str">
        <x:v>E025</x:v>
      </x:c>
      <x:c r="B27" s="17" t="str">
        <x:v>DOC008</x:v>
      </x:c>
      <x:c r="C27" s="17" t="str">
        <x:v>检验方法内容</x:v>
      </x:c>
      <x:c r="D27" s="17" t="str">
        <x:v>综合</x:v>
      </x:c>
      <x:c r="E27" s="17" t="str">
        <x:v>检验设计</x:v>
      </x:c>
      <x:c r="F27" s="15" t="str">
        <x:v>一个完整、可执行的产品检验方法通常需要写明哪些要素？</x:v>
      </x:c>
      <x:c r="G27" s="15" t="str">
        <x:v>四、检验方法</x:v>
      </x:c>
      <x:c r="H27" s="15" t="str">
        <x:v>通常应明确试验条件、样品或试件、仪器设备、操作步骤、数据处理或计算方法、结果判定准则等，使不同检验人员能够重复实施并获得可比较结果。</x:v>
      </x:c>
      <x:c r="I27" s="21" t="str">
        <x:v>待测试</x:v>
      </x:c>
      <x:c r="J27" s="22" t="str"/>
    </x:row>
    <x:row r="28" ht="60" customHeight="1">
      <x:c r="A28" s="18" t="str">
        <x:v>E026</x:v>
      </x:c>
      <x:c r="B28" s="18" t="str">
        <x:v>DOC008</x:v>
      </x:c>
      <x:c r="C28" s="18" t="str">
        <x:v>文件格式</x:v>
      </x:c>
      <x:c r="D28" s="18" t="str">
        <x:v>基础</x:v>
      </x:c>
      <x:c r="E28" s="18" t="str">
        <x:v>格式问答</x:v>
      </x:c>
      <x:c r="F28" s="16" t="str">
        <x:v>医疗器械产品技术要求的首页、编号和页面编排有哪些基本格式要求？</x:v>
      </x:c>
      <x:c r="G28" s="16" t="str">
        <x:v>附件：医疗器械产品技术要求格式</x:v>
      </x:c>
      <x:c r="H28" s="16" t="str">
        <x:v>应按规定格式编排产品名称、型号规格及性能指标和检验方法等内容，使用规范编号和连续页码；文件不另设封面，不应出现企业名称、商标或标识等与技术要求无关的信息。</x:v>
      </x:c>
      <x:c r="I28" s="21" t="str">
        <x:v>待测试</x:v>
      </x:c>
      <x:c r="J28" s="22" t="str"/>
    </x:row>
    <x:row r="29" ht="60" customHeight="1">
      <x:c r="A29" s="17" t="str">
        <x:v>E027</x:v>
      </x:c>
      <x:c r="B29" s="17" t="str">
        <x:v>DOC009</x:v>
      </x:c>
      <x:c r="C29" s="17" t="str">
        <x:v>FDA文档等级</x:v>
      </x:c>
      <x:c r="D29" s="17" t="str">
        <x:v>中等</x:v>
      </x:c>
      <x:c r="E29" s="17" t="str">
        <x:v>资料要求</x:v>
      </x:c>
      <x:c r="F29" s="15" t="str">
        <x:v>FDA软件文档等级评估应提交什么结论和论证？</x:v>
      </x:c>
      <x:c r="G29" s="15" t="str">
        <x:v>VI.A Documentation Level Evaluation</x:v>
      </x:c>
      <x:c r="H29" s="15" t="str">
        <x:v>应声明器械采用Basic或Enhanced文档等级并说明理由。理由应考虑器械预期用途，并在适当时引用风险管理文件、软件描述等申报资料支持该等级。</x:v>
      </x:c>
      <x:c r="I29" s="21" t="str">
        <x:v>待测试</x:v>
      </x:c>
      <x:c r="J29" s="22" t="str"/>
    </x:row>
    <x:row r="30" ht="60" customHeight="1">
      <x:c r="A30" s="18" t="str">
        <x:v>E028</x:v>
      </x:c>
      <x:c r="B30" s="18" t="str">
        <x:v>DOC009</x:v>
      </x:c>
      <x:c r="C30" s="18" t="str">
        <x:v>Enhanced文档等级</x:v>
      </x:c>
      <x:c r="D30" s="18" t="str">
        <x:v>综合</x:v>
      </x:c>
      <x:c r="E30" s="18" t="str">
        <x:v>适用判断</x:v>
      </x:c>
      <x:c r="F30" s="16" t="str">
        <x:v>FDA通常建议哪些器械在上市前申报中提供Enhanced软件文档？</x:v>
      </x:c>
      <x:c r="G30" s="16" t="str">
        <x:v>V. Documentation Level</x:v>
      </x:c>
      <x:c r="H30" s="16" t="str">
        <x:v>包括用于输血传播感染检测、血供者与受者相容性判定、自动血细胞分离以及血液机构计算机软件等器械；组合产品中的器械组成部分和III类器械通常也建议采用Enhanced。若某些组合产品或II类器械选择Basic，应提供充分理由。</x:v>
      </x:c>
      <x:c r="I30" s="21" t="str">
        <x:v>待测试</x:v>
      </x:c>
      <x:c r="J30" s="22" t="str"/>
    </x:row>
    <x:row r="31" ht="60" customHeight="1">
      <x:c r="A31" s="17" t="str">
        <x:v>E029</x:v>
      </x:c>
      <x:c r="B31" s="17" t="str">
        <x:v>DOC009</x:v>
      </x:c>
      <x:c r="C31" s="17" t="str">
        <x:v>软件描述</x:v>
      </x:c>
      <x:c r="D31" s="17" t="str">
        <x:v>中等</x:v>
      </x:c>
      <x:c r="E31" s="17" t="str">
        <x:v>资料要求</x:v>
      </x:c>
      <x:c r="F31" s="15" t="str">
        <x:v>FDA上市前申报中的软件描述应至少说明哪些内容？</x:v>
      </x:c>
      <x:c r="G31" s="15" t="str">
        <x:v>VI.B Software Description</x:v>
      </x:c>
      <x:c r="H31" s="15" t="str">
        <x:v>应概述重要软件特征和功能，必要时用图像、流程图和状态图说明；还应说明软件在器械预期用途中的作用、预期用户和患者、主要输入输出、分析方式及硬件平台。修改器械应标明既往申报并突出影响安全有效性的变化。</x:v>
      </x:c>
      <x:c r="I31" s="21" t="str">
        <x:v>待测试</x:v>
      </x:c>
      <x:c r="J31" s="22" t="str"/>
    </x:row>
    <x:row r="32" ht="60" customHeight="1">
      <x:c r="A32" s="18" t="str">
        <x:v>E030</x:v>
      </x:c>
      <x:c r="B32" s="18" t="str">
        <x:v>DOC009</x:v>
      </x:c>
      <x:c r="C32" s="18" t="str">
        <x:v>风险管理计划</x:v>
      </x:c>
      <x:c r="D32" s="18" t="str">
        <x:v>中等</x:v>
      </x:c>
      <x:c r="E32" s="18" t="str">
        <x:v>风险管理</x:v>
      </x:c>
      <x:c r="F32" s="16" t="str">
        <x:v>FDA重点关注风险管理计划中的哪两类准则或方法？</x:v>
      </x:c>
      <x:c r="G32" s="16" t="str">
        <x:v>VI.C(1) Risk Management Plan</x:v>
      </x:c>
      <x:c r="H32" s="16" t="str">
        <x:v>重点关注单项风险可接受性准则及是否需要风险降低，以及所有风险控制措施实施并验证后综合剩余风险可接受性的评价方法。准则应在首次风险评价前写入计划，并说明如何将综合剩余风险与预期用途受益比较。</x:v>
      </x:c>
      <x:c r="I32" s="21" t="str">
        <x:v>待测试</x:v>
      </x:c>
      <x:c r="J32" s="22" t="str"/>
    </x:row>
    <x:row r="33" ht="60" customHeight="1">
      <x:c r="A33" s="17" t="str">
        <x:v>E031</x:v>
      </x:c>
      <x:c r="B33" s="17" t="str">
        <x:v>DOC009</x:v>
      </x:c>
      <x:c r="C33" s="17" t="str">
        <x:v>风险评估</x:v>
      </x:c>
      <x:c r="D33" s="17" t="str">
        <x:v>综合</x:v>
      </x:c>
      <x:c r="E33" s="17" t="str">
        <x:v>风险管理</x:v>
      </x:c>
      <x:c r="F33" s="15" t="str">
        <x:v>FDA建议器械软件风险评估包含哪些环节，风险控制措施的优先顺序是什么？</x:v>
      </x:c>
      <x:c r="G33" s="15" t="str">
        <x:v>VI.C(2) Risk Assessment</x:v>
      </x:c>
      <x:c r="H33" s="15" t="str">
        <x:v>风险评估应包括风险分析、风险评价、风险控制和适用时的受益-风险分析。风险控制按优先级依次为设计固有控制、防护措施和安全信息，并验证控制措施已实施且有效，同时评价是否引入新危险或改变原风险。</x:v>
      </x:c>
      <x:c r="I33" s="21" t="str">
        <x:v>待测试</x:v>
      </x:c>
      <x:c r="J33" s="22" t="str"/>
    </x:row>
    <x:row r="34" ht="60" customHeight="1">
      <x:c r="A34" s="18" t="str">
        <x:v>E032</x:v>
      </x:c>
      <x:c r="B34" s="18" t="str">
        <x:v>DOC009</x:v>
      </x:c>
      <x:c r="C34" s="18" t="str">
        <x:v>风险管理报告</x:v>
      </x:c>
      <x:c r="D34" s="18" t="str">
        <x:v>基础</x:v>
      </x:c>
      <x:c r="E34" s="18" t="str">
        <x:v>资料要求</x:v>
      </x:c>
      <x:c r="F34" s="16" t="str">
        <x:v>FDA建议风险管理报告证明哪三方面内容？</x:v>
      </x:c>
      <x:c r="G34" s="16" t="str">
        <x:v>VI.C(3) Risk Management Report</x:v>
      </x:c>
      <x:c r="H34" s="16" t="str">
        <x:v>证明风险管理计划已适当实施；风险管理文件已由适当人员评审且综合剩余风险可接受；已建立收集和评价相关生产及生产后信息的适当方法。</x:v>
      </x:c>
      <x:c r="I34" s="21" t="str">
        <x:v>待测试</x:v>
      </x:c>
      <x:c r="J34" s="22" t="str"/>
    </x:row>
    <x:row r="35" ht="60" customHeight="1">
      <x:c r="A35" s="17" t="str">
        <x:v>E033</x:v>
      </x:c>
      <x:c r="B35" s="17" t="str">
        <x:v>DOC009</x:v>
      </x:c>
      <x:c r="C35" s="17" t="str">
        <x:v>软件需求规范</x:v>
      </x:c>
      <x:c r="D35" s="17" t="str">
        <x:v>综合</x:v>
      </x:c>
      <x:c r="E35" s="17" t="str">
        <x:v>资料要求</x:v>
      </x:c>
      <x:c r="F35" s="15" t="str">
        <x:v>FDA建议软件需求规范（SRS）覆盖哪些需求，并具备哪些质量特性？</x:v>
      </x:c>
      <x:c r="G35" s="15" t="str">
        <x:v>VI.D Software Requirements Specification</x:v>
      </x:c>
      <x:c r="H35" s="15" t="str">
        <x:v>SRS通常覆盖输入输出、功能、硬件、性能、接口、用户交互、错误定义与处理、运行环境、安全相关要求，以及允许的范围、限值、默认值和具体值。每项需求应可追溯，并评价准确性、完整性、一致性、可测试性、正确性和清晰性。</x:v>
      </x:c>
      <x:c r="I35" s="21" t="str">
        <x:v>待测试</x:v>
      </x:c>
      <x:c r="J35" s="22" t="str"/>
    </x:row>
    <x:row r="36" ht="60" customHeight="1">
      <x:c r="A36" s="18" t="str">
        <x:v>E034</x:v>
      </x:c>
      <x:c r="B36" s="18" t="str">
        <x:v>DOC009</x:v>
      </x:c>
      <x:c r="C36" s="18" t="str">
        <x:v>系统与软件架构</x:v>
      </x:c>
      <x:c r="D36" s="18" t="str">
        <x:v>中等</x:v>
      </x:c>
      <x:c r="E36" s="18" t="str">
        <x:v>资料要求</x:v>
      </x:c>
      <x:c r="F36" s="16" t="str">
        <x:v>系统与软件架构图应帮助FDA理解哪些关系？</x:v>
      </x:c>
      <x:c r="G36" s="16" t="str">
        <x:v>VI.E System and Software Architecture Diagram</x:v>
      </x:c>
      <x:c r="H36" s="16" t="str">
        <x:v>应展示构成系统和软件的模块与层次、模块和层次间关系、数据输入输出及流向，以及用户和外部产品（含IT基础设施及外设）如何与系统和软件交互。</x:v>
      </x:c>
      <x:c r="I36" s="21" t="str">
        <x:v>待测试</x:v>
      </x:c>
      <x:c r="J36" s="22" t="str"/>
    </x:row>
    <x:row r="37" ht="60" customHeight="1">
      <x:c r="A37" s="17" t="str">
        <x:v>E035</x:v>
      </x:c>
      <x:c r="B37" s="17" t="str">
        <x:v>DOC009</x:v>
      </x:c>
      <x:c r="C37" s="17" t="str">
        <x:v>软件设计规范</x:v>
      </x:c>
      <x:c r="D37" s="17" t="str">
        <x:v>中等</x:v>
      </x:c>
      <x:c r="E37" s="17" t="str">
        <x:v>等级对比</x:v>
      </x:c>
      <x:c r="F37" s="15" t="str">
        <x:v>Basic和Enhanced文档等级对软件设计规范（SDS）的提交要求有何不同？</x:v>
      </x:c>
      <x:c r="G37" s="15" t="str">
        <x:v>VI.F Software Design Specification</x:v>
      </x:c>
      <x:c r="H37" s="15" t="str">
        <x:v>Basic等级通常不要求在上市前申报中提交SDS，但应在器械设计历史文件中内部保存，FDA必要时可要求补充；Enhanced等级应提交一个或一组SDS，说明软件如何实现SRS、模块和接口的详细设计以及对SRS的可追溯性。</x:v>
      </x:c>
      <x:c r="I37" s="21" t="str">
        <x:v>待测试</x:v>
      </x:c>
      <x:c r="J37" s="22" t="str"/>
    </x:row>
    <x:row r="38" ht="60" customHeight="1">
      <x:c r="A38" s="18" t="str">
        <x:v>E036</x:v>
      </x:c>
      <x:c r="B38" s="18" t="str">
        <x:v>DOC009</x:v>
      </x:c>
      <x:c r="C38" s="18" t="str">
        <x:v>软件测试资料</x:v>
      </x:c>
      <x:c r="D38" s="18" t="str">
        <x:v>综合</x:v>
      </x:c>
      <x:c r="E38" s="18" t="str">
        <x:v>等级对比</x:v>
      </x:c>
      <x:c r="F38" s="16" t="str">
        <x:v>Basic文档等级的软件测试资料至少应包含哪些内容？</x:v>
      </x:c>
      <x:c r="G38" s="16" t="str">
        <x:v>VI.H(1) Basic Documentation Level</x:v>
      </x:c>
      <x:c r="H38" s="16" t="str">
        <x:v>应提供单元、集成和系统级测试活动摘要，说明测试软件版本及全部协议总体通过/失败结果；记录因失败测试实施的有意变更及其正确实施证据；并提供回归分析和带通过/失败结果的回归测试。</x:v>
      </x:c>
      <x:c r="I38" s="21" t="str">
        <x:v>待测试</x:v>
      </x:c>
      <x:c r="J38" s="22" t="str"/>
    </x:row>
    <x:row r="39" ht="60" customHeight="1">
      <x:c r="A39" s="17" t="str">
        <x:v>E037</x:v>
      </x:c>
      <x:c r="B39" s="17" t="str">
        <x:v>DOC009</x:v>
      </x:c>
      <x:c r="C39" s="17" t="str">
        <x:v>软件版本历史</x:v>
      </x:c>
      <x:c r="D39" s="17" t="str">
        <x:v>中等</x:v>
      </x:c>
      <x:c r="E39" s="17" t="str">
        <x:v>资料要求</x:v>
      </x:c>
      <x:c r="F39" s="15" t="str">
        <x:v>FDA建议软件版本历史以什么方式记录，最终条目还需说明什么？</x:v>
      </x:c>
      <x:c r="G39" s="15" t="str">
        <x:v>VI.I Software Version History</x:v>
      </x:c>
      <x:c r="H39" s="15" t="str">
        <x:v>应从受设计控制的版本开始，以逐项表格记录测试日期、版本号及相对前一测试版本的变更。最后一项应为拟发布版本，并说明测试版本与发布版本的差异及其对安全有效性的潜在影响。</x:v>
      </x:c>
      <x:c r="I39" s="21" t="str">
        <x:v>待测试</x:v>
      </x:c>
      <x:c r="J39" s="22" t="str"/>
    </x:row>
    <x:row r="40" ht="60" customHeight="1">
      <x:c r="A40" s="18" t="str">
        <x:v>E038</x:v>
      </x:c>
      <x:c r="B40" s="18" t="str">
        <x:v>DOC009</x:v>
      </x:c>
      <x:c r="C40" s="18" t="str">
        <x:v>未解决软件异常</x:v>
      </x:c>
      <x:c r="D40" s="18" t="str">
        <x:v>综合</x:v>
      </x:c>
      <x:c r="E40" s="18" t="str">
        <x:v>缺陷管理</x:v>
      </x:c>
      <x:c r="F40" s="16" t="str">
        <x:v>上市前申报中的未解决软件异常清单应记录哪些信息？</x:v>
      </x:c>
      <x:c r="G40" s="16" t="str">
        <x:v>VI.J Unresolved Software Anomalies</x:v>
      </x:c>
      <x:c r="H40" s="16" t="str">
        <x:v>每项应记录异常描述、发现方式及尽可能明确的根因、对器械安全有效性（含操作和人因）的影响评价、评价结论，以及基于风险不予修复的理由；适当时还应向用户说明缓解措施或变通方法。</x:v>
      </x:c>
      <x:c r="I40" s="21" t="str">
        <x:v>待测试</x:v>
      </x:c>
      <x:c r="J40" s="22" t="str"/>
    </x:row>
    <x:row r="41" ht="60" customHeight="1">
      <x:c r="A41" s="17" t="str">
        <x:v>E039</x:v>
      </x:c>
      <x:c r="B41" s="17" t="str">
        <x:v>DOC010</x:v>
      </x:c>
      <x:c r="C41" s="17" t="str">
        <x:v>网络器械定义</x:v>
      </x:c>
      <x:c r="D41" s="17" t="str">
        <x:v>基础</x:v>
      </x:c>
      <x:c r="E41" s="17" t="str">
        <x:v>法规概念</x:v>
      </x:c>
      <x:c r="F41" s="15" t="str">
        <x:v>FDA第524B条所称“cyber device”需要同时满足哪三个条件？</x:v>
      </x:c>
      <x:c r="G41" s="15" t="str">
        <x:v>VII.B Devices Subject to Section 524B</x:v>
      </x:c>
      <x:c r="H41" s="15" t="str">
        <x:v>器械包含由申办者验证、安装或授权的软件；具有连接互联网的能力；并含有由申办者验证、安装或授权且可能易受网络安全威胁影响的技术特征。</x:v>
      </x:c>
      <x:c r="I41" s="21" t="str">
        <x:v>待测试</x:v>
      </x:c>
      <x:c r="J41" s="22" t="str"/>
    </x:row>
    <x:row r="42" ht="60" customHeight="1">
      <x:c r="A42" s="18" t="str">
        <x:v>E040</x:v>
      </x:c>
      <x:c r="B42" s="18" t="str">
        <x:v>DOC010</x:v>
      </x:c>
      <x:c r="C42" s="18" t="str">
        <x:v>524B适用申报</x:v>
      </x:c>
      <x:c r="D42" s="18" t="str">
        <x:v>中等</x:v>
      </x:c>
      <x:c r="E42" s="18" t="str">
        <x:v>法规范围</x:v>
      </x:c>
      <x:c r="F42" s="16" t="str">
        <x:v>哪些FDA上市前申报类型涉及cyber device时需要按第524B条提交网络安全信息？</x:v>
      </x:c>
      <x:c r="G42" s="16" t="str">
        <x:v>VII.A Who is Required to Comply with Section 524B</x:v>
      </x:c>
      <x:c r="H42" s="16" t="str">
        <x:v>当器械符合cyber device定义时，提交510(k)、PMA、PDP、De Novo或HDE的申请人需要提交资料，证明器械满足第524B(b)条网络安全要求。</x:v>
      </x:c>
      <x:c r="I42" s="21" t="str">
        <x:v>待测试</x:v>
      </x:c>
      <x:c r="J42" s="22" t="str"/>
    </x:row>
    <x:row r="43" ht="60" customHeight="1">
      <x:c r="A43" s="17" t="str">
        <x:v>E041</x:v>
      </x:c>
      <x:c r="B43" s="17" t="str">
        <x:v>DOC010</x:v>
      </x:c>
      <x:c r="C43" s="17" t="str">
        <x:v>安全产品开发框架</x:v>
      </x:c>
      <x:c r="D43" s="17" t="str">
        <x:v>基础</x:v>
      </x:c>
      <x:c r="E43" s="17" t="str">
        <x:v>概念问答</x:v>
      </x:c>
      <x:c r="F43" s="15" t="str">
        <x:v>什么是安全产品开发框架（SPDF），它应覆盖器械生命周期的哪些阶段？</x:v>
      </x:c>
      <x:c r="G43" s="15" t="str">
        <x:v>IV.A.1 A Secure Product Development Framework</x:v>
      </x:c>
      <x:c r="H43" s="15" t="str">
        <x:v>SPDF是一组用于识别并减少产品漏洞数量和严重程度的过程，覆盖设计、开发、发布、支持和停用等整个器械生命周期，并用于持续制造和维护可信、具韧性的安全有效器械。</x:v>
      </x:c>
      <x:c r="I43" s="21" t="str">
        <x:v>待测试</x:v>
      </x:c>
      <x:c r="J43" s="22" t="str"/>
    </x:row>
    <x:row r="44" ht="60" customHeight="1">
      <x:c r="A44" s="18" t="str">
        <x:v>E042</x:v>
      </x:c>
      <x:c r="B44" s="18" t="str">
        <x:v>DOC010</x:v>
      </x:c>
      <x:c r="C44" s="18" t="str">
        <x:v>威胁建模</x:v>
      </x:c>
      <x:c r="D44" s="18" t="str">
        <x:v>综合</x:v>
      </x:c>
      <x:c r="E44" s="18" t="str">
        <x:v>风险管理</x:v>
      </x:c>
      <x:c r="F44" s="16" t="str">
        <x:v>FDA建议威胁模型至少识别和记录哪些内容？</x:v>
      </x:c>
      <x:c r="G44" s="16" t="str">
        <x:v>V.A.1 Threat Modeling</x:v>
      </x:c>
      <x:c r="H44" s="16" t="str">
        <x:v>应识别系统安全目标、风险、漏洞和对策，说明缓解前后风险；记录对系统或使用环境的假设；覆盖供应链、制造、部署、与其他器械互操作、维护和停用等引入的风险，并贯穿设计过程、涵盖全部系统要素。</x:v>
      </x:c>
      <x:c r="I44" s="21" t="str">
        <x:v>待测试</x:v>
      </x:c>
      <x:c r="J44" s="22" t="str"/>
    </x:row>
    <x:row r="45" ht="60" customHeight="1">
      <x:c r="A45" s="17" t="str">
        <x:v>E043</x:v>
      </x:c>
      <x:c r="B45" s="17" t="str">
        <x:v>DOC010</x:v>
      </x:c>
      <x:c r="C45" s="17" t="str">
        <x:v>网络安全风险评估</x:v>
      </x:c>
      <x:c r="D45" s="17" t="str">
        <x:v>综合</x:v>
      </x:c>
      <x:c r="E45" s="17" t="str">
        <x:v>概念辨析</x:v>
      </x:c>
      <x:c r="F45" s="15" t="str">
        <x:v>网络安全风险评估为何不能只按历史概率量化，FDA建议重点评估什么？</x:v>
      </x:c>
      <x:c r="G45" s="15" t="str">
        <x:v>V.A.2 Cybersecurity Risk Assessment</x:v>
      </x:c>
      <x:c r="H45" s="15" t="str">
        <x:v>网络攻击可能有意或无意发生，威胁会变化，难以用历史数据可靠预测事件概率。评估应重点分析漏洞的可利用性及其在器械和所在系统中的风险，可采用最坏情况假设或对合理可利用性评估给出论证。</x:v>
      </x:c>
      <x:c r="I45" s="21" t="str">
        <x:v>待测试</x:v>
      </x:c>
      <x:c r="J45" s="22" t="str"/>
    </x:row>
    <x:row r="46" ht="60" customHeight="1">
      <x:c r="A46" s="18" t="str">
        <x:v>E044</x:v>
      </x:c>
      <x:c r="B46" s="18" t="str">
        <x:v>DOC010</x:v>
      </x:c>
      <x:c r="C46" s="18" t="str">
        <x:v>互操作网络安全</x:v>
      </x:c>
      <x:c r="D46" s="18" t="str">
        <x:v>中等</x:v>
      </x:c>
      <x:c r="E46" s="18" t="str">
        <x:v>接口风险</x:v>
      </x:c>
      <x:c r="F46" s="16" t="str">
        <x:v>评估端到端医疗器械系统网络安全时，互操作功能应考虑哪些典型接口？</x:v>
      </x:c>
      <x:c r="G46" s="16" t="str">
        <x:v>V.A.3 Interoperability Considerations</x:v>
      </x:c>
      <x:c r="H46" s="16" t="str">
        <x:v>应考虑与其他医疗器械和附件、多功能产品中的其他功能、医疗机构基础设施（网络、电子病历、医学影像系统等）以及通用计算平台的接口，并用适当安全控制保证信息交换安全有效。</x:v>
      </x:c>
      <x:c r="I46" s="21" t="str">
        <x:v>待测试</x:v>
      </x:c>
      <x:c r="J46" s="22" t="str"/>
    </x:row>
    <x:row r="47" ht="60" customHeight="1">
      <x:c r="A47" s="17" t="str">
        <x:v>E045</x:v>
      </x:c>
      <x:c r="B47" s="17" t="str">
        <x:v>DOC010</x:v>
      </x:c>
      <x:c r="C47" s="17" t="str">
        <x:v>软件物料清单</x:v>
      </x:c>
      <x:c r="D47" s="17" t="str">
        <x:v>中等</x:v>
      </x:c>
      <x:c r="E47" s="17" t="str">
        <x:v>供应链安全</x:v>
      </x:c>
      <x:c r="F47" s="15" t="str">
        <x:v>FDA对软件物料清单（SBOM）的格式和用途有哪些主要建议？</x:v>
      </x:c>
      <x:c r="G47" s="15" t="str">
        <x:v>V.A.4 Third-Party Software Components；VII.C.3 SBOM</x:v>
      </x:c>
      <x:c r="H47" s="15" t="str">
        <x:v>应为各软件组件提供符合基线属性的机器可读SBOM，用于识别组件和供应链、评估已知漏洞对系统的影响并部署对策。对用户提供或持续开放的SBOM应保持链接和内容最新、准确。</x:v>
      </x:c>
      <x:c r="I47" s="21" t="str">
        <x:v>待测试</x:v>
      </x:c>
      <x:c r="J47" s="22" t="str"/>
    </x:row>
    <x:row r="48" ht="60" customHeight="1">
      <x:c r="A48" s="18" t="str">
        <x:v>E046</x:v>
      </x:c>
      <x:c r="B48" s="18" t="str">
        <x:v>DOC010</x:v>
      </x:c>
      <x:c r="C48" s="18" t="str">
        <x:v>未解决异常安全评估</x:v>
      </x:c>
      <x:c r="D48" s="18" t="str">
        <x:v>中等</x:v>
      </x:c>
      <x:c r="E48" s="18" t="str">
        <x:v>缺陷管理</x:v>
      </x:c>
      <x:c r="F48" s="16" t="str">
        <x:v>为什么普通软件风险可接受的未解决异常仍需进行网络安全影响评估？</x:v>
      </x:c>
      <x:c r="G48" s="16" t="str">
        <x:v>V.A.5 Security Assessment of Unresolved Anomalies</x:v>
      </x:c>
      <x:c r="H48" s="16" t="str">
        <x:v>因为异常可能具有安全含义并构成漏洞。正常使用下偶发且可接受的异常可能被攻击者持续触发或利用，显著改变安全有效性影响，因此应评估潜在安全影响并考虑CWE类别。</x:v>
      </x:c>
      <x:c r="I48" s="21" t="str">
        <x:v>待测试</x:v>
      </x:c>
      <x:c r="J48" s="22" t="str"/>
    </x:row>
    <x:row r="49" ht="60" customHeight="1">
      <x:c r="A49" s="17" t="str">
        <x:v>E047</x:v>
      </x:c>
      <x:c r="B49" s="17" t="str">
        <x:v>DOC010</x:v>
      </x:c>
      <x:c r="C49" s="17" t="str">
        <x:v>全生命周期安全风险管理</x:v>
      </x:c>
      <x:c r="D49" s="17" t="str">
        <x:v>综合</x:v>
      </x:c>
      <x:c r="E49" s="17" t="str">
        <x:v>生命周期管理</x:v>
      </x:c>
      <x:c r="F49" s="15" t="str">
        <x:v>器械发布后，安全风险管理文档应如何持续维护？</x:v>
      </x:c>
      <x:c r="G49" s="15" t="str">
        <x:v>V.A.6 TPLC Security Risk Management</x:v>
      </x:c>
      <x:c r="H49" s="15" t="str">
        <x:v>制造商应在支持期内持续识别、评估和缓解漏洞；发现新威胁、漏洞、资产或不利影响时更新威胁模型和风险评估。还应针对现场不同软件版本和配置分别评估影响，以支持及时纠正和预防措施。</x:v>
      </x:c>
      <x:c r="I49" s="21" t="str">
        <x:v>待测试</x:v>
      </x:c>
      <x:c r="J49" s="22" t="str"/>
    </x:row>
    <x:row r="50" ht="60" customHeight="1">
      <x:c r="A50" s="18" t="str">
        <x:v>E048</x:v>
      </x:c>
      <x:c r="B50" s="18" t="str">
        <x:v>DOC010</x:v>
      </x:c>
      <x:c r="C50" s="18" t="str">
        <x:v>安全控制类别</x:v>
      </x:c>
      <x:c r="D50" s="18" t="str">
        <x:v>中等</x:v>
      </x:c>
      <x:c r="E50" s="18" t="str">
        <x:v>分类问答</x:v>
      </x:c>
      <x:c r="F50" s="16" t="str">
        <x:v>FDA建议医疗器械安全控制至少覆盖哪八类？</x:v>
      </x:c>
      <x:c r="G50" s="16" t="str">
        <x:v>V.B.1 Implementation of Security Controls</x:v>
      </x:c>
      <x:c r="H50" s="16" t="str">
        <x:v>认证、授权、密码学、代码/数据/执行完整性、保密性、事件检测与日志、韧性与恢复、可更新性与可修补性。各类控制应有设计要求和验收准则，并证明已实施和有效测试。</x:v>
      </x:c>
      <x:c r="I50" s="21" t="str">
        <x:v>待测试</x:v>
      </x:c>
      <x:c r="J50" s="22" t="str"/>
    </x:row>
    <x:row r="51" ht="60" customHeight="1">
      <x:c r="A51" s="17" t="str">
        <x:v>E049</x:v>
      </x:c>
      <x:c r="B51" s="17" t="str">
        <x:v>DOC010</x:v>
      </x:c>
      <x:c r="C51" s="17" t="str">
        <x:v>安全架构视图</x:v>
      </x:c>
      <x:c r="D51" s="17" t="str">
        <x:v>综合</x:v>
      </x:c>
      <x:c r="E51" s="17" t="str">
        <x:v>资料要求</x:v>
      </x:c>
      <x:c r="F51" s="15" t="str">
        <x:v>FDA建议上市前申报至少提供哪四类安全架构视图？</x:v>
      </x:c>
      <x:c r="G51" s="15" t="str">
        <x:v>V.B.2 Security Architecture Views</x:v>
      </x:c>
      <x:c r="H51" s="15" t="str">
        <x:v>至少提供全局系统视图、多患者伤害视图、可更新性/可修补性视图和安全用例视图。应同时提供图和解释文字，识别安全相关要素、接口、边界、角色，并建立对安全需求的可追溯性。</x:v>
      </x:c>
      <x:c r="I51" s="21" t="str">
        <x:v>待测试</x:v>
      </x:c>
      <x:c r="J51" s="22" t="str"/>
    </x:row>
    <x:row r="52" ht="60" customHeight="1">
      <x:c r="A52" s="18" t="str">
        <x:v>E050</x:v>
      </x:c>
      <x:c r="B52" s="18" t="str">
        <x:v>DOC010</x:v>
      </x:c>
      <x:c r="C52" s="18" t="str">
        <x:v>网络安全测试</x:v>
      </x:c>
      <x:c r="D52" s="18" t="str">
        <x:v>综合</x:v>
      </x:c>
      <x:c r="E52" s="18" t="str">
        <x:v>测试要求</x:v>
      </x:c>
      <x:c r="F52" s="16" t="str">
        <x:v>网络安全测试应在何时开展，对延期修复的问题应提交什么计划？</x:v>
      </x:c>
      <x:c r="G52" s="16" t="str">
        <x:v>V.C Cybersecurity Testing</x:v>
      </x:c>
      <x:c r="H52" s="16" t="str">
        <x:v>测试应贯穿SPDF，开发早期开展以尽早发现问题，发布后按与风险相称的固定间隔继续测试。延期到未来版本修复的问题应说明目标漏洞、预计发布日期、期间已发布器械是否获得更新以及更新到达器械所需时间。</x:v>
      </x:c>
      <x:c r="I52" s="21" t="str">
        <x:v>待测试</x:v>
      </x:c>
      <x:c r="J52" s="22" t="str"/>
    </x:row>
    <x:row r="53" ht="60" customHeight="1">
      <x:c r="A53" s="17" t="str">
        <x:v>E051</x:v>
      </x:c>
      <x:c r="B53" s="17" t="str">
        <x:v>DOC010</x:v>
      </x:c>
      <x:c r="C53" s="17" t="str">
        <x:v>网络安全透明度</x:v>
      </x:c>
      <x:c r="D53" s="17" t="str">
        <x:v>综合</x:v>
      </x:c>
      <x:c r="E53" s="17" t="str">
        <x:v>标签要求</x:v>
      </x:c>
      <x:c r="F53" s="15" t="str">
        <x:v>具有网络安全风险的医疗器械标签应向用户提供哪些关键信息？</x:v>
      </x:c>
      <x:c r="G53" s="15" t="str">
        <x:v>VI.A Labeling Recommendations for Devices with Cybersecurity Risks</x:v>
      </x:c>
      <x:c r="H53" s="15" t="str">
        <x:v>应说明安全配置和网络部署、通信接口与第三方软件、授权软件和固件的下载及版本识别、更新可用性、异常安全事件的通知和日志、漏洞或事件响应方式，并提供持续更新的机器可读SBOM等信息。</x:v>
      </x:c>
      <x:c r="I53" s="21" t="str">
        <x:v>待测试</x:v>
      </x:c>
      <x:c r="J53" s="22" t="str"/>
    </x:row>
    <x:row r="54" ht="60" customHeight="1">
      <x:c r="A54" s="18" t="str">
        <x:v>E052</x:v>
      </x:c>
      <x:c r="B54" s="18" t="str">
        <x:v>DOC010</x:v>
      </x:c>
      <x:c r="C54" s="18" t="str">
        <x:v>漏洞披露计划</x:v>
      </x:c>
      <x:c r="D54" s="18" t="str">
        <x:v>综合</x:v>
      </x:c>
      <x:c r="E54" s="18" t="str">
        <x:v>上市后计划</x:v>
      </x:c>
      <x:c r="F54" s="16" t="str">
        <x:v>第524B(b)(1)条要求的上市后网络安全计划应如何处理协调漏洞披露？</x:v>
      </x:c>
      <x:c r="G54" s="16" t="str">
        <x:v>VII.C.1 Plans and Procedures</x:v>
      </x:c>
      <x:c r="H54" s="16" t="str">
        <x:v>计划应监测、识别并在合理时间内处理上市后漏洞和利用方式，包含协调漏洞披露及相关程序；既覆盖外部实体、第三方供应商和研究人员发现的问题，也覆盖制造商自身发现的问题，并规定向用户、客户、患者及相关医疗方披露的流程。</x:v>
      </x:c>
      <x:c r="I54" s="21" t="str">
        <x:v>待测试</x:v>
      </x:c>
      <x:c r="J54" s="22" t="str"/>
    </x:row>
    <x:row r="55" ht="60" customHeight="1">
      <x:c r="A55" s="17" t="str">
        <x:v>E053</x:v>
      </x:c>
      <x:c r="B55" s="17" t="str">
        <x:v>DOC010</x:v>
      </x:c>
      <x:c r="C55" s="17" t="str">
        <x:v>更新与补丁</x:v>
      </x:c>
      <x:c r="D55" s="17" t="str">
        <x:v>综合</x:v>
      </x:c>
      <x:c r="E55" s="17" t="str">
        <x:v>上市后控制</x:v>
      </x:c>
      <x:c r="F55" s="15" t="str">
        <x:v>对于已知不可接受漏洞和可能造成失控风险的关键漏洞，更新与补丁计划应说明什么？</x:v>
      </x:c>
      <x:c r="G55" s="15" t="str">
        <x:v>VII.C.2 Updates and Patches</x:v>
      </x:c>
      <x:c r="H55" s="15" t="str">
        <x:v>应说明开发和发布更新、补丁的时间表及理由。已知不可接受漏洞应在有合理依据的常规周期提供更新或补丁；可能造成失控风险的关键漏洞应尽快提供补丁或更新，并通过计划和程序保证及时分发。</x:v>
      </x:c>
      <x:c r="I55" s="21" t="str">
        <x:v>待测试</x:v>
      </x:c>
      <x:c r="J55" s="22" t="str"/>
    </x:row>
    <x:row r="56" ht="60" customHeight="1">
      <x:c r="A56" s="18" t="str">
        <x:v>E054</x:v>
      </x:c>
      <x:c r="B56" s="18" t="str">
        <x:v>DOC010</x:v>
      </x:c>
      <x:c r="C56" s="18" t="str">
        <x:v>网络安全相关变更</x:v>
      </x:c>
      <x:c r="D56" s="18" t="str">
        <x:v>综合</x:v>
      </x:c>
      <x:c r="E56" s="18" t="str">
        <x:v>变更判断</x:v>
      </x:c>
      <x:c r="F56" s="16" t="str">
        <x:v>判断器械修改是否可能影响网络安全时应关注哪些方面？</x:v>
      </x:c>
      <x:c r="G56" s="16" t="str">
        <x:v>VII.D Modifications</x:v>
      </x:c>
      <x:c r="H56" s="16" t="str">
        <x:v>应评估修改是否改变连接、接口、软件组件、权限、数据流、安全控制、威胁面、更新机制或既有风险。可能影响网络安全的变更需按相应申报和风险管理要求处理；有充分分析证明不改变这些要素和风险的变更可判为不太可能影响网络安全。</x:v>
      </x:c>
      <x:c r="I56" s="21" t="str">
        <x:v>待测试</x:v>
      </x:c>
      <x:c r="J56" s="22" t="str"/>
    </x:row>
    <x:row r="57" ht="60" customHeight="1">
      <x:c r="A57" s="17" t="str">
        <x:v>E055</x:v>
      </x:c>
      <x:c r="B57" s="17" t="str">
        <x:v>DOC011</x:v>
      </x:c>
      <x:c r="C57" s="17" t="str">
        <x:v>OTS软件识别</x:v>
      </x:c>
      <x:c r="D57" s="17" t="str">
        <x:v>基础</x:v>
      </x:c>
      <x:c r="E57" s="17" t="str">
        <x:v>资料要求</x:v>
      </x:c>
      <x:c r="F57" s="15" t="str">
        <x:v>使用OTS软件时，申报资料首先应如何识别每个OTS组件？</x:v>
      </x:c>
      <x:c r="G57" s="15" t="str">
        <x:v>III.C.1 What is it?</x:v>
      </x:c>
      <x:c r="H57" s="15" t="str">
        <x:v>应列明OTS软件名称和制造商、版本级别、发布日期、补丁号和升级标识，以及提供给最终用户的OTS文档；还应说明其为何适用于该器械及预期设计限制。</x:v>
      </x:c>
      <x:c r="I57" s="21" t="str">
        <x:v>待测试</x:v>
      </x:c>
      <x:c r="J57" s="22" t="str"/>
    </x:row>
    <x:row r="58" ht="60" customHeight="1">
      <x:c r="A58" s="18" t="str">
        <x:v>E056</x:v>
      </x:c>
      <x:c r="B58" s="18" t="str">
        <x:v>DOC011</x:v>
      </x:c>
      <x:c r="C58" s="18" t="str">
        <x:v>OTS系统规格</x:v>
      </x:c>
      <x:c r="D58" s="18" t="str">
        <x:v>中等</x:v>
      </x:c>
      <x:c r="E58" s="18" t="str">
        <x:v>配置问答</x:v>
      </x:c>
      <x:c r="F58" s="16" t="str">
        <x:v>验证OTS软件时应明确哪些计算机系统规格？</x:v>
      </x:c>
      <x:c r="G58" s="16" t="str">
        <x:v>III.C.2 Computer System Specifications</x:v>
      </x:c>
      <x:c r="H58" s="16" t="str">
        <x:v>应明确验证配置，包括处理器、内存、存储、通信和显示等硬件规格，以及操作系统、驱动和工具等软件规格；每项软件还应明确名称、具体版本和完整补丁列表。</x:v>
      </x:c>
      <x:c r="I58" s="21" t="str">
        <x:v>待测试</x:v>
      </x:c>
      <x:c r="J58" s="22" t="str"/>
    </x:row>
    <x:row r="59" ht="60" customHeight="1">
      <x:c r="A59" s="17" t="str">
        <x:v>E057</x:v>
      </x:c>
      <x:c r="B59" s="17" t="str">
        <x:v>DOC011</x:v>
      </x:c>
      <x:c r="C59" s="17" t="str">
        <x:v>最终用户操作</x:v>
      </x:c>
      <x:c r="D59" s="17" t="str">
        <x:v>中等</x:v>
      </x:c>
      <x:c r="E59" s="17" t="str">
        <x:v>用户控制</x:v>
      </x:c>
      <x:c r="F59" s="15" t="str">
        <x:v>为保证最终用户正确使用OTS软件，应明确哪些安装、配置和培训控制？</x:v>
      </x:c>
      <x:c r="G59" s="15" t="str">
        <x:v>III.C.3 End User Actions</x:v>
      </x:c>
      <x:c r="H59" s="15" t="str">
        <x:v>应明确哪些内容可或必须安装配置、允许或必须执行的步骤、配置变更频率、所需教育培训，以及防止运行未规定软件的设计措施；必要时还应通过系统设计、标签或程序限制非预期软件。</x:v>
      </x:c>
      <x:c r="I59" s="21" t="str">
        <x:v>待测试</x:v>
      </x:c>
      <x:c r="J59" s="22" t="str"/>
    </x:row>
    <x:row r="60" ht="60" customHeight="1">
      <x:c r="A60" s="18" t="str">
        <x:v>E058</x:v>
      </x:c>
      <x:c r="B60" s="18" t="str">
        <x:v>DOC011</x:v>
      </x:c>
      <x:c r="C60" s="18" t="str">
        <x:v>OTS功能与接口</x:v>
      </x:c>
      <x:c r="D60" s="18" t="str">
        <x:v>中等</x:v>
      </x:c>
      <x:c r="E60" s="18" t="str">
        <x:v>功能问答</x:v>
      </x:c>
      <x:c r="F60" s="16" t="str">
        <x:v>申报资料应如何说明OTS软件在医疗器械中的功能和外部连接？</x:v>
      </x:c>
      <x:c r="G60" s="16" t="str">
        <x:v>III.C.4 What does the OTS Software do?</x:v>
      </x:c>
      <x:c r="H60" s="16" t="str">
        <x:v>应精确说明OTS组件在器械中的预期功能、纳入设计的范围及其在错误控制和消息处理中的作用，并完整定义其与器械内其他软件及器械外部软件的链接和接口。</x:v>
      </x:c>
      <x:c r="I60" s="21" t="str">
        <x:v>待测试</x:v>
      </x:c>
      <x:c r="J60" s="22" t="str"/>
    </x:row>
    <x:row r="61" ht="60" customHeight="1">
      <x:c r="A61" s="17" t="str">
        <x:v>E059</x:v>
      </x:c>
      <x:c r="B61" s="17" t="str">
        <x:v>DOC011</x:v>
      </x:c>
      <x:c r="C61" s="17" t="str">
        <x:v>OTS验证证据</x:v>
      </x:c>
      <x:c r="D61" s="17" t="str">
        <x:v>中等</x:v>
      </x:c>
      <x:c r="E61" s="17" t="str">
        <x:v>测试要求</x:v>
      </x:c>
      <x:c r="F61" s="15" t="str">
        <x:v>如何证明OTS软件在医疗器械中能够正常工作？</x:v>
      </x:c>
      <x:c r="G61" s="15" t="str">
        <x:v>III.C.5 How do you know it works?</x:v>
      </x:c>
      <x:c r="H61" s="15" t="str">
        <x:v>应按器械软件的Basic或Enhanced文档等级，说明与OTS相关的测试、验证和确认，并确保测试与OTS引发的器械危险相适应；提交测试结果，同时掌握当前问题或缺陷清单及更新来源。</x:v>
      </x:c>
      <x:c r="I61" s="21" t="str">
        <x:v>待测试</x:v>
      </x:c>
      <x:c r="J61" s="22" t="str"/>
    </x:row>
    <x:row r="62" ht="60" customHeight="1">
      <x:c r="A62" s="18" t="str">
        <x:v>E060</x:v>
      </x:c>
      <x:c r="B62" s="18" t="str">
        <x:v>DOC011</x:v>
      </x:c>
      <x:c r="C62" s="18" t="str">
        <x:v>OTS配置控制</x:v>
      </x:c>
      <x:c r="D62" s="18" t="str">
        <x:v>综合</x:v>
      </x:c>
      <x:c r="E62" s="18" t="str">
        <x:v>配置管理</x:v>
      </x:c>
      <x:c r="F62" s="16" t="str">
        <x:v>OTS软件配置控制计划应解决哪些关键问题？</x:v>
      </x:c>
      <x:c r="G62" s="16" t="str">
        <x:v>III.C.6 Control of OTS Software</x:v>
      </x:c>
      <x:c r="H62" s="16" t="str">
        <x:v>应防止引入错误版本，理想情况下启动时核对软件名称、版本和配置，错误时报警并进入安全状态；还应规定配置维护、存储、正确安装、升级和补丁控制以及版本记录。</x:v>
      </x:c>
      <x:c r="I62" s="21" t="str">
        <x:v>待测试</x:v>
      </x:c>
      <x:c r="J62" s="22" t="str"/>
    </x:row>
    <x:row r="63" ht="60" customHeight="1">
      <x:c r="A63" s="17" t="str">
        <x:v>E061</x:v>
      </x:c>
      <x:c r="B63" s="17" t="str">
        <x:v>DOC011</x:v>
      </x:c>
      <x:c r="C63" s="17" t="str">
        <x:v>OTS开发方法保证</x:v>
      </x:c>
      <x:c r="D63" s="17" t="str">
        <x:v>综合</x:v>
      </x:c>
      <x:c r="E63" s="17" t="str">
        <x:v>供应商保证</x:v>
      </x:c>
      <x:c r="F63" s="15" t="str">
        <x:v>如何向FDA证明OTS开发者采用的开发方法适合器械预期用途？</x:v>
      </x:c>
      <x:c r="G63" s="15" t="str">
        <x:v>III.D.1 Assurance of Development Methodologies</x:v>
      </x:c>
      <x:c r="H63" s="15" t="str">
        <x:v>可评审OTS开发者的设计开发方法和所生成的开发、鉴定文档，证明其对特定器械预期用途充分且适当。若无法获得这种保证且风险控制后剩余风险不可接受，则需采取额外措施降低风险。</x:v>
      </x:c>
      <x:c r="I63" s="21" t="str">
        <x:v>待测试</x:v>
      </x:c>
      <x:c r="J63" s="22" t="str"/>
    </x:row>
    <x:row r="64" ht="60" customHeight="1">
      <x:c r="A64" s="18" t="str">
        <x:v>E062</x:v>
      </x:c>
      <x:c r="B64" s="18" t="str">
        <x:v>DOC011</x:v>
      </x:c>
      <x:c r="C64" s="18" t="str">
        <x:v>OTS持续维护</x:v>
      </x:c>
      <x:c r="D64" s="18" t="str">
        <x:v>中等</x:v>
      </x:c>
      <x:c r="E64" s="18" t="str">
        <x:v>生命周期管理</x:v>
      </x:c>
      <x:c r="F64" s="16" t="str">
        <x:v>当OTS开发者修改软件或终止支持时，器械制造商需要具备什么机制？</x:v>
      </x:c>
      <x:c r="G64" s="16" t="str">
        <x:v>III.D.2 Continued Maintenance and Support</x:v>
      </x:c>
      <x:c r="H64" s="16" t="str">
        <x:v>应证明存在适当机制，持续保证OTS软件性能、维护和支持，能够识别并处理开发者变更、更新、补丁和停止支持带来的影响，维持已上市器械的安全有效性。</x:v>
      </x:c>
      <x:c r="I64" s="21" t="str">
        <x:v>待测试</x:v>
      </x:c>
      <x:c r="J64" s="22" t="str"/>
    </x:row>
    <x:row r="65" ht="60" customHeight="1">
      <x:c r="A65" s="17" t="str">
        <x:v>E063</x:v>
      </x:c>
      <x:c r="B65" s="17" t="str">
        <x:v>DOC011</x:v>
      </x:c>
      <x:c r="C65" s="17" t="str">
        <x:v>OTS标签</x:v>
      </x:c>
      <x:c r="D65" s="17" t="str">
        <x:v>中等</x:v>
      </x:c>
      <x:c r="E65" s="17" t="str">
        <x:v>标签要求</x:v>
      </x:c>
      <x:c r="F65" s="15" t="str">
        <x:v>含OTS软件的医疗器械标签至少应提供哪些运行和安装信息？</x:v>
      </x:c>
      <x:c r="G65" s="15" t="str">
        <x:v>IV.E Product Labeling</x:v>
      </x:c>
      <x:c r="H65" s="15" t="str">
        <x:v>应说明已验证运行的最低硬件平台（如处理器、内存、接口），描述用户用于确认正确安装的测试；若独立计算机未锁定，还应警告用户不得安装其他工具或应用软件。</x:v>
      </x:c>
      <x:c r="I65" s="21" t="str">
        <x:v>待测试</x:v>
      </x:c>
      <x:c r="J65" s="22" t="str"/>
    </x:row>
    <x:row r="66" ht="60" customHeight="1">
      <x:c r="A66" s="18" t="str">
        <x:v>E064</x:v>
      </x:c>
      <x:c r="B66" s="18" t="str">
        <x:v>DOC011</x:v>
      </x:c>
      <x:c r="C66" s="18" t="str">
        <x:v>OTS变更与淘汰</x:v>
      </x:c>
      <x:c r="D66" s="18" t="str">
        <x:v>综合</x:v>
      </x:c>
      <x:c r="E66" s="18" t="str">
        <x:v>变更管理</x:v>
      </x:c>
      <x:c r="F66" s="16" t="str">
        <x:v>新增或修改OTS组件时，制造商应从哪些方面评价对已上市器械的影响？</x:v>
      </x:c>
      <x:c r="G66" s="16" t="str">
        <x:v>Appendix A Maintenance and Obsolescence</x:v>
      </x:c>
      <x:c r="H66" s="16" t="str">
        <x:v>应评价安全和风险管理、体系结构与资源等设计影响、必要的验证确认和回归测试、安装及现场升级影响、OTS淘汰和持续支持能力，并更新产品配置，明确硬件平台、软件平台、OTS组件和内部开发应用。</x:v>
      </x:c>
      <x:c r="I66" s="21" t="str">
        <x:v>待测试</x:v>
      </x:c>
      <x:c r="J66" s="22" t="str"/>
    </x:row>
    <x:row r="67" ht="60" customHeight="1">
      <x:c r="A67" s="17" t="str">
        <x:v>E065</x:v>
      </x:c>
      <x:c r="B67" s="17" t="str">
        <x:v>DOC012</x:v>
      </x:c>
      <x:c r="C67" s="17" t="str">
        <x:v>软件生存周期标准范围</x:v>
      </x:c>
      <x:c r="D67" s="17" t="str">
        <x:v>基础</x:v>
      </x:c>
      <x:c r="E67" s="17" t="str">
        <x:v>范围问答</x:v>
      </x:c>
      <x:c r="F67" s="15" t="str">
        <x:v>YY/T 0664—2020适用于哪些医疗器械软件活动，哪些系统级活动不在其覆盖范围内？</x:v>
      </x:c>
      <x:c r="G67" s="15" t="str">
        <x:v>1.2 应用范围</x:v>
      </x:c>
      <x:c r="H67" s="15" t="str">
        <x:v>适用于本身是医疗器械的软件以及作为最终医疗器械嵌入部分或组成部分的软件的开发和维护，不受存储或交付方式影响；不覆盖医疗器械的系统级确认和最终发布。</x:v>
      </x:c>
      <x:c r="I67" s="21" t="str">
        <x:v>待测试</x:v>
      </x:c>
      <x:c r="J67" s="22" t="str"/>
    </x:row>
    <x:row r="68" ht="60" customHeight="1">
      <x:c r="A68" s="18" t="str">
        <x:v>E066</x:v>
      </x:c>
      <x:c r="B68" s="18" t="str">
        <x:v>DOC012</x:v>
      </x:c>
      <x:c r="C68" s="18" t="str">
        <x:v>标准符合性</x:v>
      </x:c>
      <x:c r="D68" s="18" t="str">
        <x:v>中等</x:v>
      </x:c>
      <x:c r="E68" s="18" t="str">
        <x:v>符合性问答</x:v>
      </x:c>
      <x:c r="F68" s="16" t="str">
        <x:v>如何判定医疗器械软件符合YY/T 0664—2020？</x:v>
      </x:c>
      <x:c r="G68" s="16" t="str">
        <x:v>1.4 符合性</x:v>
      </x:c>
      <x:c r="H68" s="16" t="str">
        <x:v>应按软件安全级别实施标准规定的全部适用过程、活动和任务，并检查标准要求的所有文档（含风险管理文档），评定相应过程、活动和任务。未实施含“适当时”的要求时，必须有文件化理由。</x:v>
      </x:c>
      <x:c r="I68" s="21" t="str">
        <x:v>待测试</x:v>
      </x:c>
      <x:c r="J68" s="22" t="str"/>
    </x:row>
    <x:row r="69" ht="60" customHeight="1">
      <x:c r="A69" s="17" t="str">
        <x:v>E067</x:v>
      </x:c>
      <x:c r="B69" s="17" t="str">
        <x:v>DOC012</x:v>
      </x:c>
      <x:c r="C69" s="17" t="str">
        <x:v>回归测试定义</x:v>
      </x:c>
      <x:c r="D69" s="17" t="str">
        <x:v>基础</x:v>
      </x:c>
      <x:c r="E69" s="17" t="str">
        <x:v>概念问答</x:v>
      </x:c>
      <x:c r="F69" s="15" t="str">
        <x:v>YY/T 0664—2020如何定义回归测试，测试用例集的充分性取决于什么？</x:v>
      </x:c>
      <x:c r="G69" s="15" t="str">
        <x:v>3.14 回归测试</x:v>
      </x:c>
      <x:c r="H69" s="15" t="str">
        <x:v>回归测试是在测试项或其运行环境修改后进行的测试，用于确定是否出现回归失效；测试用例集是否充分取决于被测试项以及对测试项或运行环境所作的修改。</x:v>
      </x:c>
      <x:c r="I69" s="21" t="str">
        <x:v>待测试</x:v>
      </x:c>
      <x:c r="J69" s="22" t="str"/>
    </x:row>
    <x:row r="70" ht="60" customHeight="1">
      <x:c r="A70" s="18" t="str">
        <x:v>E068</x:v>
      </x:c>
      <x:c r="B70" s="18" t="str">
        <x:v>DOC012</x:v>
      </x:c>
      <x:c r="C70" s="18" t="str">
        <x:v>软件安全分级</x:v>
      </x:c>
      <x:c r="D70" s="18" t="str">
        <x:v>综合</x:v>
      </x:c>
      <x:c r="E70" s="18" t="str">
        <x:v>分级问答</x:v>
      </x:c>
      <x:c r="F70" s="16" t="str">
        <x:v>YY/T 0664—2020中A、B、C三个软件安全级别分别如何判定？</x:v>
      </x:c>
      <x:c r="G70" s="16" t="str">
        <x:v>4.3 软件安全分级</x:v>
      </x:c>
      <x:c r="H70" s="16" t="str">
        <x:v>考虑已实施的外部风险控制措施后：软件不可能促成危险情况，或虽可能促成但不会导致不可接受风险，为A级；可能促成不可接受风险且可能伤害为非严重损伤，为B级；可能伤害为死亡或严重损伤，为C级。判定时软件失效概率设为1。</x:v>
      </x:c>
      <x:c r="I70" s="21" t="str">
        <x:v>待测试</x:v>
      </x:c>
      <x:c r="J70" s="22" t="str"/>
    </x:row>
    <x:row r="71" ht="60" customHeight="1">
      <x:c r="A71" s="17" t="str">
        <x:v>E069</x:v>
      </x:c>
      <x:c r="B71" s="17" t="str">
        <x:v>DOC012</x:v>
      </x:c>
      <x:c r="C71" s="17" t="str">
        <x:v>外部风险控制与重新分级</x:v>
      </x:c>
      <x:c r="D71" s="17" t="str">
        <x:v>综合</x:v>
      </x:c>
      <x:c r="E71" s="17" t="str">
        <x:v>分级问答</x:v>
      </x:c>
      <x:c r="F71" s="15" t="str">
        <x:v>外部风险控制措施如何影响软件安全分级？</x:v>
      </x:c>
      <x:c r="G71" s="15" t="str">
        <x:v>4.3 软件安全分级</x:v>
      </x:c>
      <x:c r="H71" s="15" t="str">
        <x:v>分级时只考虑软件系统外部且已实施的风险控制措施。最初为B或C级的软件系统可通过增加外部控制（如硬件、独立软件系统、医疗程序或其他方法）降低风险并重新分级，但应形成相应文件。</x:v>
      </x:c>
      <x:c r="I71" s="21" t="str">
        <x:v>待测试</x:v>
      </x:c>
      <x:c r="J71" s="22" t="str"/>
    </x:row>
    <x:row r="72" ht="60" customHeight="1">
      <x:c r="A72" s="18" t="str">
        <x:v>E070</x:v>
      </x:c>
      <x:c r="B72" s="18" t="str">
        <x:v>DOC012</x:v>
      </x:c>
      <x:c r="C72" s="18" t="str">
        <x:v>软件项分级继承</x:v>
      </x:c>
      <x:c r="D72" s="18" t="str">
        <x:v>综合</x:v>
      </x:c>
      <x:c r="E72" s="18" t="str">
        <x:v>分级问答</x:v>
      </x:c>
      <x:c r="F72" s="16" t="str">
        <x:v>软件系统分解为软件项后，安全级别如何继承和调整？</x:v>
      </x:c>
      <x:c r="G72" s="16" t="str">
        <x:v>4.3 软件安全分级</x:v>
      </x:c>
      <x:c r="H72" s="16" t="str">
        <x:v>子软件项原则上继承父软件项或软件系统的安全级别。若要赋予不同级别，制造商应文件化理由并解释如何隔离以支持单独分级；对一组软件项通常按其中最高级别执行要求，使用较低级别也需在风险管理文档中说明理由。</x:v>
      </x:c>
      <x:c r="I72" s="21" t="str">
        <x:v>待测试</x:v>
      </x:c>
      <x:c r="J72" s="22" t="str"/>
    </x:row>
    <x:row r="73" ht="60" customHeight="1">
      <x:c r="A73" s="17" t="str">
        <x:v>E071</x:v>
      </x:c>
      <x:c r="B73" s="17" t="str">
        <x:v>DOC012</x:v>
      </x:c>
      <x:c r="C73" s="17" t="str">
        <x:v>遗留软件定义</x:v>
      </x:c>
      <x:c r="D73" s="17" t="str">
        <x:v>基础</x:v>
      </x:c>
      <x:c r="E73" s="17" t="str">
        <x:v>概念问答</x:v>
      </x:c>
      <x:c r="F73" s="15" t="str">
        <x:v>YY/T 0664—2020所称遗留软件是什么？</x:v>
      </x:c>
      <x:c r="G73" s="15" t="str">
        <x:v>3.34 遗留软件</x:v>
      </x:c>
      <x:c r="H73" s="15" t="str">
        <x:v>遗留软件是已合法投放市场且至今仍在销售，但其开发符合本标准现行版本的客观证据不充分的医疗器械软件。</x:v>
      </x:c>
      <x:c r="I73" s="21" t="str">
        <x:v>待测试</x:v>
      </x:c>
      <x:c r="J73" s="22" t="str"/>
    </x:row>
    <x:row r="74" ht="60" customHeight="1">
      <x:c r="A74" s="18" t="str">
        <x:v>E072</x:v>
      </x:c>
      <x:c r="B74" s="18" t="str">
        <x:v>DOC012</x:v>
      </x:c>
      <x:c r="C74" s="18" t="str">
        <x:v>遗留软件风险管理</x:v>
      </x:c>
      <x:c r="D74" s="18" t="str">
        <x:v>综合</x:v>
      </x:c>
      <x:c r="E74" s="18" t="str">
        <x:v>风险管理</x:v>
      </x:c>
      <x:c r="F74" s="16" t="str">
        <x:v>继续使用遗留软件时应开展哪些风险管理活动？</x:v>
      </x:c>
      <x:c r="G74" s="16" t="str">
        <x:v>4.4.2 风险管理活动</x:v>
      </x:c>
      <x:c r="H74" s="16" t="str">
        <x:v>应评价组织内部和用户反馈及生产后信息；评价既有风险控制在预期寿命内是否持续有效；识别继续使用相关危险情况及软件促成危险情况的潜在原因，并为每个原因确定风险控制措施。</x:v>
      </x:c>
      <x:c r="I74" s="21" t="str">
        <x:v>待测试</x:v>
      </x:c>
      <x:c r="J74" s="22" t="str"/>
    </x:row>
    <x:row r="75" ht="60" customHeight="1">
      <x:c r="A75" s="17" t="str">
        <x:v>E073</x:v>
      </x:c>
      <x:c r="B75" s="17" t="str">
        <x:v>DOC012</x:v>
      </x:c>
      <x:c r="C75" s="17" t="str">
        <x:v>遗留软件差距分析</x:v>
      </x:c>
      <x:c r="D75" s="17" t="str">
        <x:v>综合</x:v>
      </x:c>
      <x:c r="E75" s="17" t="str">
        <x:v>差距分析</x:v>
      </x:c>
      <x:c r="F75" s="15" t="str">
        <x:v>遗留软件差距分析和差距关闭至少应完成什么？</x:v>
      </x:c>
      <x:c r="G75" s="15" t="str">
        <x:v>4.4.3—4.4.5</x:v>
      </x:c>
      <x:c r="H75" s="15" t="str">
        <x:v>应评定现有交付物是否持续有效，识别缺失交付物和活动并评价弥补措施的风险降低作用，确定要补建的交付物，至少形成软件系统测试记录；还应制定并执行关闭计划、使用问题解决过程、按维护过程控制变更，并记录版本及继续使用理由。</x:v>
      </x:c>
      <x:c r="I75" s="21" t="str">
        <x:v>待测试</x:v>
      </x:c>
      <x:c r="J75" s="22" t="str"/>
    </x:row>
    <x:row r="76" ht="60" customHeight="1">
      <x:c r="A76" s="18" t="str">
        <x:v>E074</x:v>
      </x:c>
      <x:c r="B76" s="18" t="str">
        <x:v>DOC012</x:v>
      </x:c>
      <x:c r="C76" s="18" t="str">
        <x:v>软件开发策划</x:v>
      </x:c>
      <x:c r="D76" s="18" t="str">
        <x:v>综合</x:v>
      </x:c>
      <x:c r="E76" s="18" t="str">
        <x:v>计划要求</x:v>
      </x:c>
      <x:c r="F76" s="16" t="str">
        <x:v>YY/T 0664—2020要求软件开发计划至少说明哪些内容？</x:v>
      </x:c>
      <x:c r="G76" s="16" t="str">
        <x:v>5.1.1 软件开发计划</x:v>
      </x:c>
      <x:c r="H76" s="16" t="str">
        <x:v>至少说明开发过程和生存周期模型、活动与任务交付物、系统需求—软件需求—系统测试—软件风险控制之间的可追溯性、软件配置与变更管理（含未知来源软件和开发支持软件），以及贯穿各阶段的软件问题解决方案。</x:v>
      </x:c>
      <x:c r="I76" s="21" t="str">
        <x:v>待测试</x:v>
      </x:c>
      <x:c r="J76" s="22" t="str"/>
    </x:row>
    <x:row r="77" ht="60" customHeight="1">
      <x:c r="A77" s="17" t="str">
        <x:v>E075</x:v>
      </x:c>
      <x:c r="B77" s="17" t="str">
        <x:v>DOC013</x:v>
      </x:c>
      <x:c r="C77" s="17" t="str">
        <x:v>风险管理标准范围</x:v>
      </x:c>
      <x:c r="D77" s="17" t="str">
        <x:v>基础</x:v>
      </x:c>
      <x:c r="E77" s="17" t="str">
        <x:v>范围问答</x:v>
      </x:c>
      <x:c r="F77" s="15" t="str">
        <x:v>GB/T 42062—2022适用于哪些医疗器械和风险，不适用于哪些决策？</x:v>
      </x:c>
      <x:c r="G77" s="15" t="str">
        <x:v>1 范围</x:v>
      </x:c>
      <x:c r="H77" s="15" t="str">
        <x:v>适用于医疗器械（包括医疗器械软件和体外诊断器械）生命周期各阶段的风险管理，覆盖生物相容性、信息安全、电气、运动部件、辐射、可用性等风险；不适用于特定临床程序中是否使用器械的决定，也不适用于商业风险管理。</x:v>
      </x:c>
      <x:c r="I77" s="21" t="str">
        <x:v>待测试</x:v>
      </x:c>
      <x:c r="J77" s="22" t="str"/>
    </x:row>
    <x:row r="78" ht="60" customHeight="1">
      <x:c r="A78" s="18" t="str">
        <x:v>E076</x:v>
      </x:c>
      <x:c r="B78" s="18" t="str">
        <x:v>DOC013</x:v>
      </x:c>
      <x:c r="C78" s="18" t="str">
        <x:v>风险管理过程</x:v>
      </x:c>
      <x:c r="D78" s="18" t="str">
        <x:v>基础</x:v>
      </x:c>
      <x:c r="E78" s="18" t="str">
        <x:v>流程问答</x:v>
      </x:c>
      <x:c r="F78" s="16" t="str">
        <x:v>GB/T 42062—2022要求风险管理持续过程实现哪些目的，并包含哪些基本要素？</x:v>
      </x:c>
      <x:c r="G78" s="16" t="str">
        <x:v>4.1 风险管理过程</x:v>
      </x:c>
      <x:c r="H78" s="16" t="str">
        <x:v>过程用于识别危险和危险情况、估计和评价风险、控制风险并监视控制有效性，贯穿整个生命周期；基本要素包括风险分析、风险评价、风险控制以及生产和生产后活动。</x:v>
      </x:c>
      <x:c r="I78" s="21" t="str">
        <x:v>待测试</x:v>
      </x:c>
      <x:c r="J78" s="22" t="str"/>
    </x:row>
    <x:row r="79" ht="60" customHeight="1">
      <x:c r="A79" s="17" t="str">
        <x:v>E077</x:v>
      </x:c>
      <x:c r="B79" s="17" t="str">
        <x:v>DOC013</x:v>
      </x:c>
      <x:c r="C79" s="17" t="str">
        <x:v>管理职责</x:v>
      </x:c>
      <x:c r="D79" s="17" t="str">
        <x:v>中等</x:v>
      </x:c>
      <x:c r="E79" s="17" t="str">
        <x:v>职责问答</x:v>
      </x:c>
      <x:c r="F79" s="15" t="str">
        <x:v>最高管理者对医疗器械风险管理过程承担哪些主要职责？</x:v>
      </x:c>
      <x:c r="G79" s="15" t="str">
        <x:v>4.2 管理职责</x:v>
      </x:c>
      <x:c r="H79" s="15" t="str">
        <x:v>应提供充分资源、分配胜任人员，规定并文件化建立风险可接受性准则的方针，使其基于法规、标准、最新技术水平和利益相关方关注点，并按计划间隔评审风险管理过程的适宜性和持续有效性，记录决定与措施。</x:v>
      </x:c>
      <x:c r="I79" s="21" t="str">
        <x:v>待测试</x:v>
      </x:c>
      <x:c r="J79" s="22" t="str"/>
    </x:row>
    <x:row r="80" ht="60" customHeight="1">
      <x:c r="A80" s="18" t="str">
        <x:v>E078</x:v>
      </x:c>
      <x:c r="B80" s="18" t="str">
        <x:v>DOC013</x:v>
      </x:c>
      <x:c r="C80" s="18" t="str">
        <x:v>风险管理计划</x:v>
      </x:c>
      <x:c r="D80" s="18" t="str">
        <x:v>综合</x:v>
      </x:c>
      <x:c r="E80" s="18" t="str">
        <x:v>计划要求</x:v>
      </x:c>
      <x:c r="F80" s="16" t="str">
        <x:v>风险管理计划至少应包括哪些内容？</x:v>
      </x:c>
      <x:c r="G80" s="16" t="str">
        <x:v>4.4 风险管理计划</x:v>
      </x:c>
      <x:c r="H80" s="16" t="str">
        <x:v>至少包括活动范围和适用生命周期阶段、职责权限、评审要求、单项风险可接受性准则（含概率不能估计时）、综合剩余风险评价方法和准则、风险控制实施及有效性验证活动，以及生产和生产后信息的收集评审活动；计划变更需留存记录。</x:v>
      </x:c>
      <x:c r="I80" s="21" t="str">
        <x:v>待测试</x:v>
      </x:c>
      <x:c r="J80" s="22" t="str"/>
    </x:row>
    <x:row r="81" ht="60" customHeight="1">
      <x:c r="A81" s="17" t="str">
        <x:v>E079</x:v>
      </x:c>
      <x:c r="B81" s="17" t="str">
        <x:v>DOC013</x:v>
      </x:c>
      <x:c r="C81" s="17" t="str">
        <x:v>风险管理文档</x:v>
      </x:c>
      <x:c r="D81" s="17" t="str">
        <x:v>中等</x:v>
      </x:c>
      <x:c r="E81" s="17" t="str">
        <x:v>可追溯性</x:v>
      </x:c>
      <x:c r="F81" s="15" t="str">
        <x:v>风险管理文档对每个已识别危险应建立哪些可追溯关系？</x:v>
      </x:c>
      <x:c r="G81" s="15" t="str">
        <x:v>4.5 风险管理文档</x:v>
      </x:c>
      <x:c r="H81" s="15" t="str">
        <x:v>应能追溯到相应风险分析、风险评价、风险控制措施的实施和验证，以及剩余风险评价结果。文档可引用其他文件，但应能及时定位和收集全部所需记录。</x:v>
      </x:c>
      <x:c r="I81" s="21" t="str">
        <x:v>待测试</x:v>
      </x:c>
      <x:c r="J81" s="22" t="str"/>
    </x:row>
    <x:row r="82" ht="60" customHeight="1">
      <x:c r="A82" s="18" t="str">
        <x:v>E080</x:v>
      </x:c>
      <x:c r="B82" s="18" t="str">
        <x:v>DOC013</x:v>
      </x:c>
      <x:c r="C82" s="18" t="str">
        <x:v>预期用途与误使用</x:v>
      </x:c>
      <x:c r="D82" s="18" t="str">
        <x:v>中等</x:v>
      </x:c>
      <x:c r="E82" s="18" t="str">
        <x:v>风险分析</x:v>
      </x:c>
      <x:c r="F82" s="16" t="str">
        <x:v>风险分析中，预期用途和可合理预见的误使用应如何形成文件？</x:v>
      </x:c>
      <x:c r="G82" s="16" t="str">
        <x:v>5.2 预期用途和可合理预见的误使用</x:v>
      </x:c>
      <x:c r="H82" s="16" t="str">
        <x:v>应文件化特定器械的预期用途，宜包含医学适应证、患者群体、交互身体部位或组织、用户特征、使用环境和工作原理，同时文件化可合理预见的误使用，并将资料保留于风险管理文档。</x:v>
      </x:c>
      <x:c r="I82" s="21" t="str">
        <x:v>待测试</x:v>
      </x:c>
      <x:c r="J82" s="22" t="str"/>
    </x:row>
    <x:row r="83" ht="60" customHeight="1">
      <x:c r="A83" s="17" t="str">
        <x:v>E081</x:v>
      </x:c>
      <x:c r="B83" s="17" t="str">
        <x:v>DOC013</x:v>
      </x:c>
      <x:c r="C83" s="17" t="str">
        <x:v>危险识别与风险估计</x:v>
      </x:c>
      <x:c r="D83" s="17" t="str">
        <x:v>综合</x:v>
      </x:c>
      <x:c r="E83" s="17" t="str">
        <x:v>风险分析</x:v>
      </x:c>
      <x:c r="F83" s="15" t="str">
        <x:v>风险分析应如何从安全相关特性推进到危险情况和风险估计？</x:v>
      </x:c>
      <x:c r="G83" s="15" t="str">
        <x:v>5.3—5.5</x:v>
      </x:c>
      <x:c r="H83" s="15" t="str">
        <x:v>先识别并文件化可能影响安全的定性、定量特性及适用界限；再基于预期用途和误使用识别正常及故障状态下的危险、事件序列和危险情况；最后对每个危险情况估计伤害发生概率和严重度，或在概率无法估计时按既定方法记录分析。</x:v>
      </x:c>
      <x:c r="I83" s="21" t="str">
        <x:v>待测试</x:v>
      </x:c>
      <x:c r="J83" s="22" t="str"/>
    </x:row>
    <x:row r="84" ht="60" customHeight="1">
      <x:c r="A84" s="18" t="str">
        <x:v>E082</x:v>
      </x:c>
      <x:c r="B84" s="18" t="str">
        <x:v>DOC013</x:v>
      </x:c>
      <x:c r="C84" s="18" t="str">
        <x:v>风险评价</x:v>
      </x:c>
      <x:c r="D84" s="18" t="str">
        <x:v>中等</x:v>
      </x:c>
      <x:c r="E84" s="18" t="str">
        <x:v>风险决策</x:v>
      </x:c>
      <x:c r="F84" s="16" t="str">
        <x:v>对已估计风险进行风险评价后，可接受和不可接受风险分别如何处理？</x:v>
      </x:c>
      <x:c r="G84" s="16" t="str">
        <x:v>6 风险评价</x:v>
      </x:c>
      <x:c r="H84" s="16" t="str">
        <x:v>按风险管理计划的风险可接受性准则评价。可接受风险作为剩余风险并继续检查风险控制完整性；不可接受风险必须实施风险控制活动。评价结果均应记录于风险管理文档。</x:v>
      </x:c>
      <x:c r="I84" s="21" t="str">
        <x:v>待测试</x:v>
      </x:c>
      <x:c r="J84" s="22" t="str"/>
    </x:row>
    <x:row r="85" ht="60" customHeight="1">
      <x:c r="A85" s="17" t="str">
        <x:v>E083</x:v>
      </x:c>
      <x:c r="B85" s="17" t="str">
        <x:v>DOC013</x:v>
      </x:c>
      <x:c r="C85" s="17" t="str">
        <x:v>风险控制优先级</x:v>
      </x:c>
      <x:c r="D85" s="17" t="str">
        <x:v>综合</x:v>
      </x:c>
      <x:c r="E85" s="17" t="str">
        <x:v>风险控制</x:v>
      </x:c>
      <x:c r="F85" s="15" t="str">
        <x:v>风险控制方案应按什么优先顺序选择，实施后需要进行哪两类验证？</x:v>
      </x:c>
      <x:c r="G85" s="15" t="str">
        <x:v>7.1—7.2</x:v>
      </x:c>
      <x:c r="H85" s="15" t="str">
        <x:v>按固有安全的设计和制造、防护措施、提供安全信息的优先顺序选择。实施后既要验证风险控制措施已在最终设计或制造过程中实现，也要验证措施确实有效降低了风险。</x:v>
      </x:c>
      <x:c r="I85" s="21" t="str">
        <x:v>待测试</x:v>
      </x:c>
      <x:c r="J85" s="22" t="str"/>
    </x:row>
    <x:row r="86" ht="60" customHeight="1">
      <x:c r="A86" s="18" t="str">
        <x:v>E084</x:v>
      </x:c>
      <x:c r="B86" s="18" t="str">
        <x:v>DOC013</x:v>
      </x:c>
      <x:c r="C86" s="18" t="str">
        <x:v>剩余风险与新增风险</x:v>
      </x:c>
      <x:c r="D86" s="18" t="str">
        <x:v>综合</x:v>
      </x:c>
      <x:c r="E86" s="18" t="str">
        <x:v>风险控制</x:v>
      </x:c>
      <x:c r="F86" s="16" t="str">
        <x:v>单项剩余风险仍不可接受时如何处理，风险控制措施本身又需评价什么？</x:v>
      </x:c>
      <x:c r="G86" s="16" t="str">
        <x:v>7.3—7.5</x:v>
      </x:c>
      <x:c r="H86" s="16" t="str">
        <x:v>应考虑进一步风险控制；若无法再控制且剩余风险仍不可接受，需进行受益-风险分析，只有预期用途受益超过剩余风险才可接受。同时应评价控制措施是否引入新危险、危险情况或增大既有风险，并对新风险或增大风险继续管理。</x:v>
      </x:c>
      <x:c r="I86" s="21" t="str">
        <x:v>待测试</x:v>
      </x:c>
      <x:c r="J86" s="22" t="str"/>
    </x:row>
    <x:row r="87" ht="60" customHeight="1">
      <x:c r="A87" s="17" t="str">
        <x:v>E085</x:v>
      </x:c>
      <x:c r="B87" s="17" t="str">
        <x:v>DOC013</x:v>
      </x:c>
      <x:c r="C87" s="17" t="str">
        <x:v>综合剩余风险</x:v>
      </x:c>
      <x:c r="D87" s="17" t="str">
        <x:v>综合</x:v>
      </x:c>
      <x:c r="E87" s="17" t="str">
        <x:v>风险评价</x:v>
      </x:c>
      <x:c r="F87" s="15" t="str">
        <x:v>综合剩余风险评价应如何开展，结论为可接受后还需做什么？</x:v>
      </x:c>
      <x:c r="G87" s="15" t="str">
        <x:v>8 综合剩余风险评价</x:v>
      </x:c>
      <x:c r="H87" s="15" t="str">
        <x:v>所有风险控制实施并验证后，应按计划规定的方法和准则，考虑全部剩余风险影响并与预期用途受益比较。判定可接受后，应向用户告知重大剩余风险，并在随附文件中提供必要公开信息；评价结果写入风险管理文档。</x:v>
      </x:c>
      <x:c r="I87" s="21" t="str">
        <x:v>待测试</x:v>
      </x:c>
      <x:c r="J87" s="22" t="str"/>
    </x:row>
    <x:row r="88" ht="60" customHeight="1">
      <x:c r="A88" s="18" t="str">
        <x:v>E086</x:v>
      </x:c>
      <x:c r="B88" s="18" t="str">
        <x:v>DOC013</x:v>
      </x:c>
      <x:c r="C88" s="18" t="str">
        <x:v>风险管理评审与生产后活动</x:v>
      </x:c>
      <x:c r="D88" s="18" t="str">
        <x:v>综合</x:v>
      </x:c>
      <x:c r="E88" s="18" t="str">
        <x:v>生命周期管理</x:v>
      </x:c>
      <x:c r="F88" s="16" t="str">
        <x:v>器械商业发布前的风险管理评审和发布后的信息管理分别应完成什么？</x:v>
      </x:c>
      <x:c r="G88" s="16" t="str">
        <x:v>9 风险管理评审；10 生产和生产后活动</x:v>
      </x:c>
      <x:c r="H88" s="16" t="str">
        <x:v>发布前应确认风险管理计划已适当实施、综合剩余风险可接受、已有收集评审生产及生产后信息的方法，并形成风险管理报告。发布后应主动收集、评审安全相关信息，必要时重新评价风险和控制措施、采取市场措施并更新风险管理过程。</x:v>
      </x:c>
      <x:c r="I88" s="21" t="str">
        <x:v>待测试</x:v>
      </x:c>
      <x:c r="J88" s="22" t="str"/>
    </x:row>
    <x:row r="89" ht="60" customHeight="1">
      <x:c r="A89" s="17" t="str">
        <x:v>E087</x:v>
      </x:c>
      <x:c r="B89" s="17" t="str">
        <x:v>DOC015</x:v>
      </x:c>
      <x:c r="C89" s="17" t="str">
        <x:v>不良事件监测责任</x:v>
      </x:c>
      <x:c r="D89" s="17" t="str">
        <x:v>基础</x:v>
      </x:c>
      <x:c r="E89" s="17" t="str">
        <x:v>职责问答</x:v>
      </x:c>
      <x:c r="F89" s="15" t="str">
        <x:v>医疗器械上市许可持有人在不良事件监测中承担哪些核心责任？</x:v>
      </x:c>
      <x:c r="G89" s="15" t="str">
        <x:v>第一章 总则 第三条</x:v>
      </x:c>
      <x:c r="H89" s="15" t="str">
        <x:v>持有人应建立不良事件监测体系并直接向监测机构报告，对发现的不良事件开展调查评价，根据结果改进产品质量，报告评价结果和质量改进措施；需要原注册机关审批的应按规定申请。</x:v>
      </x:c>
      <x:c r="I89" s="21" t="str">
        <x:v>待测试</x:v>
      </x:c>
      <x:c r="J89" s="22" t="str"/>
    </x:row>
    <x:row r="90" ht="60" customHeight="1">
      <x:c r="A90" s="18" t="str">
        <x:v>E088</x:v>
      </x:c>
      <x:c r="B90" s="18" t="str">
        <x:v>DOC015</x:v>
      </x:c>
      <x:c r="C90" s="18" t="str">
        <x:v>报告原则与范围</x:v>
      </x:c>
      <x:c r="D90" s="18" t="str">
        <x:v>中等</x:v>
      </x:c>
      <x:c r="E90" s="18" t="str">
        <x:v>报告要求</x:v>
      </x:c>
      <x:c r="F90" s="16" t="str">
        <x:v>医疗器械不良事件报告遵循什么原则，哪些事件必须报告？</x:v>
      </x:c>
      <x:c r="G90" s="16" t="str">
        <x:v>第三章 第一节 第十七—十八条</x:v>
      </x:c>
      <x:c r="H90" s="16" t="str">
        <x:v>遵循“可疑即报”原则，内容应真实、完整、准确。导致或可能导致严重伤害或死亡的可疑事件必须报告；创新医疗器械在首个注册周期内应报告该产品的全部不良事件。</x:v>
      </x:c>
      <x:c r="I90" s="21" t="str">
        <x:v>待测试</x:v>
      </x:c>
      <x:c r="J90" s="22" t="str"/>
    </x:row>
    <x:row r="91" ht="60" customHeight="1">
      <x:c r="A91" s="17" t="str">
        <x:v>E089</x:v>
      </x:c>
      <x:c r="B91" s="17" t="str">
        <x:v>DOC015</x:v>
      </x:c>
      <x:c r="C91" s="17" t="str">
        <x:v>个例报告时限</x:v>
      </x:c>
      <x:c r="D91" s="17" t="str">
        <x:v>基础</x:v>
      </x:c>
      <x:c r="E91" s="17" t="str">
        <x:v>时限问答</x:v>
      </x:c>
      <x:c r="F91" s="15" t="str">
        <x:v>持有人发现可疑个例医疗器械不良事件后，死亡和严重伤害相关事件的报告时限分别是多少？</x:v>
      </x:c>
      <x:c r="G91" s="15" t="str">
        <x:v>第三章 第二节 第二十五条</x:v>
      </x:c>
      <x:c r="H91" s="15" t="str">
        <x:v>应立即调查原因；导致死亡的在7日内报告，导致严重伤害、可能导致严重伤害或死亡的在20日内报告。</x:v>
      </x:c>
      <x:c r="I91" s="21" t="str">
        <x:v>待测试</x:v>
      </x:c>
      <x:c r="J91" s="22" t="str"/>
    </x:row>
    <x:row r="92" ht="60" customHeight="1">
      <x:c r="A92" s="18" t="str">
        <x:v>E090</x:v>
      </x:c>
      <x:c r="B92" s="18" t="str">
        <x:v>DOC015</x:v>
      </x:c>
      <x:c r="C92" s="18" t="str">
        <x:v>群体不良事件</x:v>
      </x:c>
      <x:c r="D92" s="18" t="str">
        <x:v>综合</x:v>
      </x:c>
      <x:c r="E92" s="18" t="str">
        <x:v>应急处置</x:v>
      </x:c>
      <x:c r="F92" s="16" t="str">
        <x:v>发现群体医疗器械不良事件后，报告和初始处置有哪些时限与要求？</x:v>
      </x:c>
      <x:c r="G92" s="16" t="str">
        <x:v>第三章 第三节 第三十一—三十二条</x:v>
      </x:c>
      <x:c r="H92" s="16" t="str">
        <x:v>持有人、经营企业和使用单位应在12小时内以电话或传真报告事发地省级药监和卫生部门，并通过系统报告基本信息；每一事件24小时内按个例报告。持有人还应立即暂停生产销售、通知停止使用，开展调查和体系自查，并在7日内提交报告。</x:v>
      </x:c>
      <x:c r="I92" s="21" t="str">
        <x:v>待测试</x:v>
      </x:c>
      <x:c r="J92" s="22" t="str"/>
    </x:row>
    <x:row r="93" ht="60" customHeight="1">
      <x:c r="A93" s="17" t="str">
        <x:v>E091</x:v>
      </x:c>
      <x:c r="B93" s="17" t="str">
        <x:v>DOC015</x:v>
      </x:c>
      <x:c r="C93" s="17" t="str">
        <x:v>定期风险评价报告</x:v>
      </x:c>
      <x:c r="D93" s="17" t="str">
        <x:v>综合</x:v>
      </x:c>
      <x:c r="E93" s="17" t="str">
        <x:v>上市后评价</x:v>
      </x:c>
      <x:c r="F93" s="15" t="str">
        <x:v>上市后定期风险评价报告应包含什么，通常在何时完成？</x:v>
      </x:c>
      <x:c r="G93" s="15" t="str">
        <x:v>第三章 第四节 第三十八—三十九条</x:v>
      </x:c>
      <x:c r="H93" s="15" t="str">
        <x:v>应汇总分析不良事件报告、监测资料和国内外风险信息，评价风险与受益，记录风险控制措施。自首次注册或备案起每满一年后的60日内完成上年度报告；第一类器械由持有人留存备查。</x:v>
      </x:c>
      <x:c r="I93" s="21" t="str">
        <x:v>待测试</x:v>
      </x:c>
      <x:c r="J93" s="22" t="str"/>
    </x:row>
    <x:row r="94" ht="60" customHeight="1">
      <x:c r="A94" s="18" t="str">
        <x:v>E092</x:v>
      </x:c>
      <x:c r="B94" s="18" t="str">
        <x:v>DOC015</x:v>
      </x:c>
      <x:c r="C94" s="18" t="str">
        <x:v>上市后风险控制</x:v>
      </x:c>
      <x:c r="D94" s="18" t="str">
        <x:v>综合</x:v>
      </x:c>
      <x:c r="E94" s="18" t="str">
        <x:v>风险控制</x:v>
      </x:c>
      <x:c r="F94" s="16" t="str">
        <x:v>持有人发现器械存在可能危及人体健康和生命安全的不合理风险时，可以采取哪些措施？</x:v>
      </x:c>
      <x:c r="G94" s="16" t="str">
        <x:v>第五章 风险控制 第四十八条</x:v>
      </x:c>
      <x:c r="H94" s="16" t="str">
        <x:v>可停止生产销售，通知暂停销售使用，实施召回，发布风险信息，自查并整改质量体系，修改说明书标签和操作手册，改进工艺、设计或技术要求，开展再评价，按规定变更注册或备案，并及时向社会公布相关风险和处置。</x:v>
      </x:c>
      <x:c r="I94" s="21" t="str">
        <x:v>待测试</x:v>
      </x:c>
      <x:c r="J94" s="22" t="str"/>
    </x:row>
    <x:row r="95" ht="60" customHeight="1">
      <x:c r="A95" s="17" t="str">
        <x:v>E093</x:v>
      </x:c>
      <x:c r="B95" s="17" t="str">
        <x:v>DOC015</x:v>
      </x:c>
      <x:c r="C95" s="17" t="str">
        <x:v>医疗器械再评价</x:v>
      </x:c>
      <x:c r="D95" s="17" t="str">
        <x:v>综合</x:v>
      </x:c>
      <x:c r="E95" s="17" t="str">
        <x:v>上市后评价</x:v>
      </x:c>
      <x:c r="F95" s="15" t="str">
        <x:v>哪些情形需要持有人主动开展医疗器械再评价，再评价报告应包括什么？</x:v>
      </x:c>
      <x:c r="G95" s="15" t="str">
        <x:v>第六章 再评价 第五十五—五十七条</x:v>
      </x:c>
      <x:c r="H95" s="15" t="str">
        <x:v>因科学研究发展导致对安全有效性认识改变、不良事件监测评估提示可能存在缺陷，或国家药监局规定的其他情形，应主动再评价。报告应包括产品风险受益、社会经济效益、技术进展评估及拟采取措施建议。</x:v>
      </x:c>
      <x:c r="I95" s="21" t="str">
        <x:v>待测试</x:v>
      </x:c>
      <x:c r="J95" s="22" t="str"/>
    </x:row>
    <x:row r="96" ht="60" customHeight="1">
      <x:c r="A96" s="18" t="str">
        <x:v>E094</x:v>
      </x:c>
      <x:c r="B96" s="18" t="str">
        <x:v>DOC016</x:v>
      </x:c>
      <x:c r="C96" s="18" t="str">
        <x:v>医疗器械召回定义</x:v>
      </x:c>
      <x:c r="D96" s="18" t="str">
        <x:v>基础</x:v>
      </x:c>
      <x:c r="E96" s="18" t="str">
        <x:v>概念问答</x:v>
      </x:c>
      <x:c r="F96" s="16" t="str">
        <x:v>什么是医疗器械召回，软件更新能否作为召回处理方式？</x:v>
      </x:c>
      <x:c r="G96" s="16" t="str">
        <x:v>第一章 总则 第三条</x:v>
      </x:c>
      <x:c r="H96" s="16" t="str">
        <x:v>召回是生产企业按程序对已上市销售的某类别、型号或批次缺陷器械采取处理的行为，方式包括警示、检查、修理、重新标签、修改说明书、软件更新、替换、收回和销毁等，因此软件更新可以作为召回处理方式。</x:v>
      </x:c>
      <x:c r="I96" s="21" t="str">
        <x:v>待测试</x:v>
      </x:c>
      <x:c r="J96" s="22" t="str"/>
    </x:row>
    <x:row r="97" ht="60" customHeight="1">
      <x:c r="A97" s="17" t="str">
        <x:v>E095</x:v>
      </x:c>
      <x:c r="B97" s="17" t="str">
        <x:v>DOC016</x:v>
      </x:c>
      <x:c r="C97" s="17" t="str">
        <x:v>缺陷调查评估</x:v>
      </x:c>
      <x:c r="D97" s="17" t="str">
        <x:v>综合</x:v>
      </x:c>
      <x:c r="E97" s="17" t="str">
        <x:v>风险评估</x:v>
      </x:c>
      <x:c r="F97" s="15" t="str">
        <x:v>评价缺陷医疗器械时应重点考虑哪些因素？</x:v>
      </x:c>
      <x:c r="G97" s="15" t="str">
        <x:v>第二章 第十二条</x:v>
      </x:c>
      <x:c r="H97" s="15" t="str">
        <x:v>应考虑是否符合强制标准和产品技术要求、使用中是否发生故障或伤害、现有环境下是否会造成伤害及相关证据、涉及地区和人群、伤害程度、发生概率、短期和长期后果及其他可能伤害因素。</x:v>
      </x:c>
      <x:c r="I97" s="21" t="str">
        <x:v>待测试</x:v>
      </x:c>
      <x:c r="J97" s="22" t="str"/>
    </x:row>
    <x:row r="98" ht="60" customHeight="1">
      <x:c r="A98" s="18" t="str">
        <x:v>E096</x:v>
      </x:c>
      <x:c r="B98" s="18" t="str">
        <x:v>DOC016</x:v>
      </x:c>
      <x:c r="C98" s="18" t="str">
        <x:v>召回分级</x:v>
      </x:c>
      <x:c r="D98" s="18" t="str">
        <x:v>基础</x:v>
      </x:c>
      <x:c r="E98" s="18" t="str">
        <x:v>分级问答</x:v>
      </x:c>
      <x:c r="F98" s="16" t="str">
        <x:v>医疗器械一级、二级和三级召回分别如何判定？</x:v>
      </x:c>
      <x:c r="G98" s="16" t="str">
        <x:v>第二章 第十三条</x:v>
      </x:c>
      <x:c r="H98" s="16" t="str">
        <x:v>一级：使用器械可能或已经引起严重健康危害；二级：可能或已经引起暂时或可逆健康危害；三级：引起危害的可能性较小但仍需召回。生产企业应结合级别、销售和使用情况制定并实施计划。</x:v>
      </x:c>
      <x:c r="I98" s="21" t="str">
        <x:v>待测试</x:v>
      </x:c>
      <x:c r="J98" s="22" t="str"/>
    </x:row>
    <x:row r="99" ht="60" customHeight="1">
      <x:c r="A99" s="17" t="str">
        <x:v>E097</x:v>
      </x:c>
      <x:c r="B99" s="17" t="str">
        <x:v>DOC016</x:v>
      </x:c>
      <x:c r="C99" s="17" t="str">
        <x:v>召回公告与通知</x:v>
      </x:c>
      <x:c r="D99" s="17" t="str">
        <x:v>综合</x:v>
      </x:c>
      <x:c r="E99" s="17" t="str">
        <x:v>时限问答</x:v>
      </x:c>
      <x:c r="F99" s="15" t="str">
        <x:v>主动召回时，不同召回级别的通知时限是什么，召回通知应包括哪些内容？</x:v>
      </x:c>
      <x:c r="G99" s="15" t="str">
        <x:v>第三章 第十四—十五条</x:v>
      </x:c>
      <x:c r="H99" s="15" t="str">
        <x:v>一级在1日内、二级在3日内、三级在7日内通知经营企业、使用单位或使用者。通知应包括器械名称、型号规格和批次等基本信息、召回原因、暂停销售使用或转发通知等要求，以及召回产品处理方式。</x:v>
      </x:c>
      <x:c r="I99" s="21" t="str">
        <x:v>待测试</x:v>
      </x:c>
      <x:c r="J99" s="22" t="str"/>
    </x:row>
    <x:row r="100" ht="60" customHeight="1">
      <x:c r="A100" s="18" t="str">
        <x:v>E098</x:v>
      </x:c>
      <x:c r="B100" s="18" t="str">
        <x:v>DOC016</x:v>
      </x:c>
      <x:c r="C100" s="18" t="str">
        <x:v>召回报告与计划</x:v>
      </x:c>
      <x:c r="D100" s="18" t="str">
        <x:v>综合</x:v>
      </x:c>
      <x:c r="E100" s="18" t="str">
        <x:v>资料与时限</x:v>
      </x:c>
      <x:c r="F100" s="16" t="str">
        <x:v>生产企业决定召回后应在何时提交哪些报告，调查评估报告和召回计划分别包括什么？</x:v>
      </x:c>
      <x:c r="G100" s="16" t="str">
        <x:v>第三章 第十六—十七条</x:v>
      </x:c>
      <x:c r="H100" s="16" t="str">
        <x:v>应立即提交召回事件报告表，并在5个工作日内提交调查评估报告和召回计划。调查报告包括器械具体情况、召回原因、调查评估结果和召回分级；计划包括生产销售及拟召回数量、措施组织范围时限、信息公布途径范围、预期效果和召回后处理措施。</x:v>
      </x:c>
      <x:c r="I100" s="21" t="str">
        <x:v>待测试</x:v>
      </x:c>
      <x:c r="J100" s="22" t="str"/>
    </x:row>
    <x:row r="101" ht="60" customHeight="1">
      <x:c r="A101" s="17" t="str">
        <x:v>E099</x:v>
      </x:c>
      <x:c r="B101" s="17" t="str">
        <x:v>DOC016</x:v>
      </x:c>
      <x:c r="C101" s="17" t="str">
        <x:v>召回产品处理记录</x:v>
      </x:c>
      <x:c r="D101" s="17" t="str">
        <x:v>中等</x:v>
      </x:c>
      <x:c r="E101" s="17" t="str">
        <x:v>记录控制</x:v>
      </x:c>
      <x:c r="F101" s="15" t="str">
        <x:v>召回医疗器械的处理记录应如何保存，哪些缺陷处理可在产品所在地完成？</x:v>
      </x:c>
      <x:c r="G101" s="15" t="str">
        <x:v>第三章 第二十一条</x:v>
      </x:c>
      <x:c r="H101" s="15" t="str">
        <x:v>处理应有详细记录并报告；记录保存至注册证失效后5年，第一类器械保存5年。通过警示、检查、修理、重新标签、修改说明书、软件更新、替换或销毁等可消除缺陷的，可在产品所在地处理；销毁需在监管部门监督下进行。</x:v>
      </x:c>
      <x:c r="I101" s="21" t="str">
        <x:v>待测试</x:v>
      </x:c>
      <x:c r="J101" s="22" t="str"/>
    </x:row>
    <x:row r="102" ht="60" customHeight="1">
      <x:c r="A102" s="18" t="str">
        <x:v>E100</x:v>
      </x:c>
      <x:c r="B102" s="18" t="str">
        <x:v>DOC016</x:v>
      </x:c>
      <x:c r="C102" s="18" t="str">
        <x:v>召回效果与重新召回</x:v>
      </x:c>
      <x:c r="D102" s="18" t="str">
        <x:v>综合</x:v>
      </x:c>
      <x:c r="E102" s="18" t="str">
        <x:v>闭环管理</x:v>
      </x:c>
      <x:c r="F102" s="16" t="str">
        <x:v>召回完成后如何评价效果，什么情况下需要重新召回？</x:v>
      </x:c>
      <x:c r="G102" s="16" t="str">
        <x:v>第三章 第二十二—二十三条；第四章 第二十七条</x:v>
      </x:c>
      <x:c r="H102" s="16" t="str">
        <x:v>生产企业应在召回完成后10个工作日内评价召回效果并提交总结评估报告。监管部门审查后认为召回未有效消除缺陷或控制风险，或责令召回不彻底时，可书面要求重新召回，企业必须按要求执行。</x:v>
      </x:c>
      <x:c r="I102" s="21" t="str">
        <x:v>待测试</x:v>
      </x:c>
      <x:c r="J102" s="22" t="str"/>
    </x:row>
  </x:sheetData>
  <x:mergeCells>
    <x:mergeCell ref="A1:J1"/>
  </x:mergeCells>
  <x:dataValidations count="2">
    <x:dataValidation type="list" sqref="D3:D102">
      <x:formula1>"基础,中等,综合"</x:formula1>
    </x:dataValidation>
    <x:dataValidation type="list" sqref="I3:I102">
      <x:formula1>"待测试,已完成"</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46" hidden="0" customWidth="1"/>
    <x:col min="3" max="3" width="12" hidden="0" customWidth="1"/>
    <x:col min="4" max="4" width="34" hidden="0" customWidth="1"/>
    <x:col min="5" max="5" width="16" hidden="0" customWidth="1"/>
    <x:col min="6" max="6" width="34" hidden="0" customWidth="1"/>
    <x:col min="7" max="7" width="11" hidden="0" customWidth="1"/>
    <x:col min="8" max="8" width="11" hidden="0" customWidth="1"/>
    <x:col min="9" max="9" width="11" hidden="0" customWidth="1"/>
    <x:col min="10" max="10" width="18" hidden="0" customWidth="1"/>
    <x:col min="11" max="11" width="12" hidden="0" customWidth="1"/>
    <x:col min="12" max="12" width="13" hidden="0" customWidth="1"/>
    <x:col min="13" max="13" width="12" hidden="0" customWidth="1"/>
    <x:col min="14" max="14" width="14" hidden="0" customWidth="1"/>
    <x:col min="15" max="15" width="42" hidden="0" customWidth="1"/>
  </x:cols>
  <x:sheetData>
    <x:row r="1" ht="30" customHeight="1">
      <x:c r="A1" s="4" t="str">
        <x:v>RAGFlow官方扩充题集检索与回答评测记录</x:v>
      </x:c>
      <x:c r="B1" s="4"/>
      <x:c r="C1" s="4"/>
      <x:c r="D1" s="4"/>
      <x:c r="E1" s="4"/>
      <x:c r="F1" s="4"/>
      <x:c r="G1" s="4"/>
      <x:c r="H1" s="4"/>
      <x:c r="I1" s="4"/>
      <x:c r="J1" s="4"/>
      <x:c r="K1" s="4"/>
      <x:c r="L1" s="4"/>
      <x:c r="M1" s="4"/>
      <x:c r="N1" s="4"/>
      <x:c r="O1" s="4"/>
    </x:row>
    <x:row r="2">
      <x:c r="A2" s="10" t="str">
        <x:v>问题ID</x:v>
      </x:c>
      <x:c r="B2" s="10" t="str">
        <x:v>评测问题</x:v>
      </x:c>
      <x:c r="C2" s="10" t="str">
        <x:v>预期文档</x:v>
      </x:c>
      <x:c r="D2" s="10" t="str">
        <x:v>预期定位</x:v>
      </x:c>
      <x:c r="E2" s="10" t="str">
        <x:v>实际Top1文档</x:v>
      </x:c>
      <x:c r="F2" s="10" t="str">
        <x:v>实际Top1定位</x:v>
      </x:c>
      <x:c r="G2" s="10" t="str">
        <x:v>Top1命中</x:v>
      </x:c>
      <x:c r="H2" s="10" t="str">
        <x:v>Top3命中</x:v>
      </x:c>
      <x:c r="I2" s="10" t="str">
        <x:v>引用正确</x:v>
      </x:c>
      <x:c r="J2" s="10" t="str">
        <x:v>回答准确度(0-2)</x:v>
      </x:c>
      <x:c r="K2" s="10" t="str">
        <x:v>是否幻觉</x:v>
      </x:c>
      <x:c r="L2" s="10" t="str">
        <x:v>测试状态</x:v>
      </x:c>
      <x:c r="M2" s="10" t="str">
        <x:v>综合得分</x:v>
      </x:c>
      <x:c r="N2" s="10" t="str">
        <x:v>测试日期</x:v>
      </x:c>
      <x:c r="O2" s="10" t="str">
        <x:v>备注</x:v>
      </x:c>
    </x:row>
    <x:row r="3" ht="54" customHeight="1">
      <x:c r="A3" s="17" t="str">
        <x:v>E001</x:v>
      </x:c>
      <x:c r="B3" s="15" t="str">
        <x:v>《医疗器械可用性工程注册审查指导原则》适用于哪些医疗器械，明确不适用于哪类产品？</x:v>
      </x:c>
      <x:c r="C3" s="17" t="str">
        <x:v>DOC006</x:v>
      </x:c>
      <x:c r="D3" s="15" t="str">
        <x:v>一、适用范围</x:v>
      </x:c>
      <x:c r="E3" s="22" t="str"/>
      <x:c r="F3" s="22" t="str"/>
      <x:c r="G3" s="21" t="str"/>
      <x:c r="H3" s="21" t="str"/>
      <x:c r="I3" s="21" t="str"/>
      <x:c r="J3" s="21" t="str"/>
      <x:c r="K3" s="21" t="str"/>
      <x:c r="L3" s="21" t="str">
        <x:v>待测试</x:v>
      </x:c>
      <x:c r="M3" s="24" t="str">
        <x:f>IF(L3&lt;&gt;"已完成","",G3+H3+I3+J3*2+IF(K3=0,1,0))</x:f>
      </x:c>
      <x:c r="N3" s="25" t="str"/>
      <x:c r="O3" s="22" t="str"/>
    </x:row>
    <x:row r="4" ht="54" customHeight="1">
      <x:c r="A4" s="18" t="str">
        <x:v>E002</x:v>
      </x:c>
      <x:c r="B4" s="16" t="str">
        <x:v>医疗器械可用性工程的三个核心要素是什么，各自主要包括什么内容？</x:v>
      </x:c>
      <x:c r="C4" s="18" t="str">
        <x:v>DOC006</x:v>
      </x:c>
      <x:c r="D4" s="16" t="str">
        <x:v>二、主要概念（二）用户、使用场景和用户界面</x:v>
      </x:c>
      <x:c r="E4" s="22" t="str"/>
      <x:c r="F4" s="22" t="str"/>
      <x:c r="G4" s="21" t="str"/>
      <x:c r="H4" s="21" t="str"/>
      <x:c r="I4" s="21" t="str"/>
      <x:c r="J4" s="21" t="str"/>
      <x:c r="K4" s="21" t="str"/>
      <x:c r="L4" s="21" t="str">
        <x:v>待测试</x:v>
      </x:c>
      <x:c r="M4" s="24" t="str">
        <x:f>IF(L4&lt;&gt;"已完成","",G4+H4+I4+J4*2+IF(K4=0,1,0))</x:f>
      </x:c>
      <x:c r="N4" s="25" t="str"/>
      <x:c r="O4" s="22" t="str"/>
    </x:row>
    <x:row r="5" ht="54" customHeight="1">
      <x:c r="A5" s="17" t="str">
        <x:v>E003</x:v>
      </x:c>
      <x:c r="B5" s="15" t="str">
        <x:v>正常使用、非正常使用、正确使用和错误使用之间是什么关系？</x:v>
      </x:c>
      <x:c r="C5" s="17" t="str">
        <x:v>DOC006</x:v>
      </x:c>
      <x:c r="D5" s="15" t="str">
        <x:v>二、主要概念（三）医疗器械使用情况和用户操作情形</x:v>
      </x:c>
      <x:c r="E5" s="22" t="str"/>
      <x:c r="F5" s="22" t="str"/>
      <x:c r="G5" s="21" t="str"/>
      <x:c r="H5" s="21" t="str"/>
      <x:c r="I5" s="21" t="str"/>
      <x:c r="J5" s="21" t="str"/>
      <x:c r="K5" s="21" t="str"/>
      <x:c r="L5" s="21" t="str">
        <x:v>待测试</x:v>
      </x:c>
      <x:c r="M5" s="24" t="str">
        <x:f>IF(L5&lt;&gt;"已完成","",G5+H5+I5+J5*2+IF(K5=0,1,0))</x:f>
      </x:c>
      <x:c r="N5" s="25" t="str"/>
      <x:c r="O5" s="22" t="str"/>
    </x:row>
    <x:row r="6" ht="54" customHeight="1">
      <x:c r="A6" s="18" t="str">
        <x:v>E004</x:v>
      </x:c>
      <x:c r="B6" s="16" t="str">
        <x:v>医疗器械使用风险分为哪三级，分别如何判定？</x:v>
      </x:c>
      <x:c r="C6" s="18" t="str">
        <x:v>DOC006</x:v>
      </x:c>
      <x:c r="D6" s="16" t="str">
        <x:v>三、基本原则（二）使用风险导向</x:v>
      </x:c>
      <x:c r="E6" s="22" t="str"/>
      <x:c r="F6" s="22" t="str"/>
      <x:c r="G6" s="21" t="str"/>
      <x:c r="H6" s="21" t="str"/>
      <x:c r="I6" s="21" t="str"/>
      <x:c r="J6" s="21" t="str"/>
      <x:c r="K6" s="21" t="str"/>
      <x:c r="L6" s="21" t="str">
        <x:v>待测试</x:v>
      </x:c>
      <x:c r="M6" s="24" t="str">
        <x:f>IF(L6&lt;&gt;"已完成","",G6+H6+I6+J6*2+IF(K6=0,1,0))</x:f>
      </x:c>
      <x:c r="N6" s="25" t="str"/>
      <x:c r="O6" s="22" t="str"/>
    </x:row>
    <x:row r="7" ht="54" customHeight="1">
      <x:c r="A7" s="17" t="str">
        <x:v>E005</x:v>
      </x:c>
      <x:c r="B7" s="15" t="str">
        <x:v>医疗器械可用性工程过程包括哪些活动，哪些活动应贯穿其中？</x:v>
      </x:c>
      <x:c r="C7" s="17" t="str">
        <x:v>DOC006</x:v>
      </x:c>
      <x:c r="D7" s="15" t="str">
        <x:v>四、可用性工程过程</x:v>
      </x:c>
      <x:c r="E7" s="22" t="str"/>
      <x:c r="F7" s="22" t="str"/>
      <x:c r="G7" s="21" t="str"/>
      <x:c r="H7" s="21" t="str"/>
      <x:c r="I7" s="21" t="str"/>
      <x:c r="J7" s="21" t="str"/>
      <x:c r="K7" s="21" t="str"/>
      <x:c r="L7" s="21" t="str">
        <x:v>待测试</x:v>
      </x:c>
      <x:c r="M7" s="24" t="str">
        <x:f>IF(L7&lt;&gt;"已完成","",G7+H7+I7+J7*2+IF(K7=0,1,0))</x:f>
      </x:c>
      <x:c r="N7" s="25" t="str"/>
      <x:c r="O7" s="22" t="str"/>
    </x:row>
    <x:row r="8" ht="54" customHeight="1">
      <x:c r="A8" s="18" t="str">
        <x:v>E006</x:v>
      </x:c>
      <x:c r="B8" s="16" t="str">
        <x:v>用户界面验证与用户界面确认有何区别，它们又分别对应哪类可用性评价？</x:v>
      </x:c>
      <x:c r="C8" s="18" t="str">
        <x:v>DOC006</x:v>
      </x:c>
      <x:c r="D8" s="16" t="str">
        <x:v>五、用户界面验证与确认</x:v>
      </x:c>
      <x:c r="E8" s="22" t="str"/>
      <x:c r="F8" s="22" t="str"/>
      <x:c r="G8" s="21" t="str"/>
      <x:c r="H8" s="21" t="str"/>
      <x:c r="I8" s="21" t="str"/>
      <x:c r="J8" s="21" t="str"/>
      <x:c r="K8" s="21" t="str"/>
      <x:c r="L8" s="21" t="str">
        <x:v>待测试</x:v>
      </x:c>
      <x:c r="M8" s="24" t="str">
        <x:f>IF(L8&lt;&gt;"已完成","",G8+H8+I8+J8*2+IF(K8=0,1,0))</x:f>
      </x:c>
      <x:c r="N8" s="25" t="str"/>
      <x:c r="O8" s="22" t="str"/>
    </x:row>
    <x:row r="9" ht="54" customHeight="1">
      <x:c r="A9" s="17" t="str">
        <x:v>E007</x:v>
      </x:c>
      <x:c r="B9" s="15" t="str">
        <x:v>临床试验能否替代用户界面确认测试，为什么？</x:v>
      </x:c>
      <x:c r="C9" s="17" t="str">
        <x:v>DOC006</x:v>
      </x:c>
      <x:c r="D9" s="15" t="str">
        <x:v>六、技术考量（一）临床试验</x:v>
      </x:c>
      <x:c r="E9" s="22" t="str"/>
      <x:c r="F9" s="22" t="str"/>
      <x:c r="G9" s="21" t="str"/>
      <x:c r="H9" s="21" t="str"/>
      <x:c r="I9" s="21" t="str"/>
      <x:c r="J9" s="21" t="str"/>
      <x:c r="K9" s="21" t="str"/>
      <x:c r="L9" s="21" t="str">
        <x:v>待测试</x:v>
      </x:c>
      <x:c r="M9" s="24" t="str">
        <x:f>IF(L9&lt;&gt;"已完成","",G9+H9+I9+J9*2+IF(K9=0,1,0))</x:f>
      </x:c>
      <x:c r="N9" s="25" t="str"/>
      <x:c r="O9" s="22" t="str"/>
    </x:row>
    <x:row r="10" ht="54" customHeight="1">
      <x:c r="A10" s="18" t="str">
        <x:v>E008</x:v>
      </x:c>
      <x:c r="B10" s="16" t="str">
        <x:v>进口医疗器械为什么原则上需要在中国开展用户界面确认工作？</x:v>
      </x:c>
      <x:c r="C10" s="18" t="str">
        <x:v>DOC006</x:v>
      </x:c>
      <x:c r="D10" s="16" t="str">
        <x:v>六、技术考量（二）进口医疗器械</x:v>
      </x:c>
      <x:c r="E10" s="22" t="str"/>
      <x:c r="F10" s="22" t="str"/>
      <x:c r="G10" s="21" t="str"/>
      <x:c r="H10" s="21" t="str"/>
      <x:c r="I10" s="21" t="str"/>
      <x:c r="J10" s="21" t="str"/>
      <x:c r="K10" s="21" t="str"/>
      <x:c r="L10" s="21" t="str">
        <x:v>待测试</x:v>
      </x:c>
      <x:c r="M10" s="24" t="str">
        <x:f>IF(L10&lt;&gt;"已完成","",G10+H10+I10+J10*2+IF(K10=0,1,0))</x:f>
      </x:c>
      <x:c r="N10" s="25" t="str"/>
      <x:c r="O10" s="22" t="str"/>
    </x:row>
    <x:row r="11" ht="54" customHeight="1">
      <x:c r="A11" s="17" t="str">
        <x:v>E009</x:v>
      </x:c>
      <x:c r="B11" s="15" t="str">
        <x:v>使用现成用户界面时应开展哪些可用性工程控制？</x:v>
      </x:c>
      <x:c r="C11" s="17" t="str">
        <x:v>DOC006</x:v>
      </x:c>
      <x:c r="D11" s="15" t="str">
        <x:v>六、技术考量（三）现成用户界面</x:v>
      </x:c>
      <x:c r="E11" s="22" t="str"/>
      <x:c r="F11" s="22" t="str"/>
      <x:c r="G11" s="21" t="str"/>
      <x:c r="H11" s="21" t="str"/>
      <x:c r="I11" s="21" t="str"/>
      <x:c r="J11" s="21" t="str"/>
      <x:c r="K11" s="21" t="str"/>
      <x:c r="L11" s="21" t="str">
        <x:v>待测试</x:v>
      </x:c>
      <x:c r="M11" s="24" t="str">
        <x:f>IF(L11&lt;&gt;"已完成","",G11+H11+I11+J11*2+IF(K11=0,1,0))</x:f>
      </x:c>
      <x:c r="N11" s="25" t="str"/>
      <x:c r="O11" s="22" t="str"/>
    </x:row>
    <x:row r="12" ht="54" customHeight="1">
      <x:c r="A12" s="18" t="str">
        <x:v>E010</x:v>
      </x:c>
      <x:c r="B12" s="16" t="str">
        <x:v>高使用风险与中、低使用风险医疗器械在产品注册时分别应提交什么可用性工程研究资料？</x:v>
      </x:c>
      <x:c r="C12" s="18" t="str">
        <x:v>DOC006</x:v>
      </x:c>
      <x:c r="D12" s="16" t="str">
        <x:v>八、注册申报资料补充说明（一）产品注册</x:v>
      </x:c>
      <x:c r="E12" s="22" t="str"/>
      <x:c r="F12" s="22" t="str"/>
      <x:c r="G12" s="21" t="str"/>
      <x:c r="H12" s="21" t="str"/>
      <x:c r="I12" s="21" t="str"/>
      <x:c r="J12" s="21" t="str"/>
      <x:c r="K12" s="21" t="str"/>
      <x:c r="L12" s="21" t="str">
        <x:v>待测试</x:v>
      </x:c>
      <x:c r="M12" s="24" t="str">
        <x:f>IF(L12&lt;&gt;"已完成","",G12+H12+I12+J12*2+IF(K12=0,1,0))</x:f>
      </x:c>
      <x:c r="N12" s="25" t="str"/>
      <x:c r="O12" s="22" t="str"/>
    </x:row>
    <x:row r="13" ht="54" customHeight="1">
      <x:c r="A13" s="17" t="str">
        <x:v>E011</x:v>
      </x:c>
      <x:c r="B13" s="15" t="str">
        <x:v>什么是移动医疗器械，移动计算终端分为哪两类？</x:v>
      </x:c>
      <x:c r="C13" s="17" t="str">
        <x:v>DOC007</x:v>
      </x:c>
      <x:c r="D13" s="15" t="str">
        <x:v>二、主要概念（一）移动医疗器械</x:v>
      </x:c>
      <x:c r="E13" s="22" t="str"/>
      <x:c r="F13" s="22" t="str"/>
      <x:c r="G13" s="21" t="str"/>
      <x:c r="H13" s="21" t="str"/>
      <x:c r="I13" s="21" t="str"/>
      <x:c r="J13" s="21" t="str"/>
      <x:c r="K13" s="21" t="str"/>
      <x:c r="L13" s="21" t="str">
        <x:v>待测试</x:v>
      </x:c>
      <x:c r="M13" s="24" t="str">
        <x:f>IF(L13&lt;&gt;"已完成","",G13+H13+I13+J13*2+IF(K13=0,1,0))</x:f>
      </x:c>
      <x:c r="N13" s="25" t="str"/>
      <x:c r="O13" s="22" t="str"/>
    </x:row>
    <x:row r="14" ht="54" customHeight="1">
      <x:c r="A14" s="18" t="str">
        <x:v>E012</x:v>
      </x:c>
      <x:c r="B14" s="16" t="str">
        <x:v>移动计算终端有哪些使用形式？请各举一例。</x:v>
      </x:c>
      <x:c r="C14" s="18" t="str">
        <x:v>DOC007</x:v>
      </x:c>
      <x:c r="D14" s="16" t="str">
        <x:v>二、主要概念（一）移动医疗器械</x:v>
      </x:c>
      <x:c r="E14" s="22" t="str"/>
      <x:c r="F14" s="22" t="str"/>
      <x:c r="G14" s="21" t="str"/>
      <x:c r="H14" s="21" t="str"/>
      <x:c r="I14" s="21" t="str"/>
      <x:c r="J14" s="21" t="str"/>
      <x:c r="K14" s="21" t="str"/>
      <x:c r="L14" s="21" t="str">
        <x:v>待测试</x:v>
      </x:c>
      <x:c r="M14" s="24" t="str">
        <x:f>IF(L14&lt;&gt;"已完成","",G14+H14+I14+J14*2+IF(K14=0,1,0))</x:f>
      </x:c>
      <x:c r="N14" s="25" t="str"/>
      <x:c r="O14" s="22" t="str"/>
    </x:row>
    <x:row r="15" ht="54" customHeight="1">
      <x:c r="A15" s="17" t="str">
        <x:v>E013</x:v>
      </x:c>
      <x:c r="B15" s="15" t="str">
        <x:v>移动医疗设备与移动独立软件的主要区别是什么？</x:v>
      </x:c>
      <x:c r="C15" s="17" t="str">
        <x:v>DOC007</x:v>
      </x:c>
      <x:c r="D15" s="15" t="str">
        <x:v>二、主要概念（二）移动医疗器械类型</x:v>
      </x:c>
      <x:c r="E15" s="22" t="str"/>
      <x:c r="F15" s="22" t="str"/>
      <x:c r="G15" s="21" t="str"/>
      <x:c r="H15" s="21" t="str"/>
      <x:c r="I15" s="21" t="str"/>
      <x:c r="J15" s="21" t="str"/>
      <x:c r="K15" s="21" t="str"/>
      <x:c r="L15" s="21" t="str">
        <x:v>待测试</x:v>
      </x:c>
      <x:c r="M15" s="24" t="str">
        <x:f>IF(L15&lt;&gt;"已完成","",G15+H15+I15+J15*2+IF(K15=0,1,0))</x:f>
      </x:c>
      <x:c r="N15" s="25" t="str"/>
      <x:c r="O15" s="22" t="str"/>
    </x:row>
    <x:row r="16" ht="54" customHeight="1">
      <x:c r="A16" s="18" t="str">
        <x:v>E014</x:v>
      </x:c>
      <x:c r="B16" s="16" t="str">
        <x:v>移动医疗器械在显示装置和环境光方面应重点考虑哪些要求？</x:v>
      </x:c>
      <x:c r="C16" s="18" t="str">
        <x:v>DOC007</x:v>
      </x:c>
      <x:c r="D16" s="16" t="str">
        <x:v>五、技术考量（一）显示</x:v>
      </x:c>
      <x:c r="E16" s="22" t="str"/>
      <x:c r="F16" s="22" t="str"/>
      <x:c r="G16" s="21" t="str"/>
      <x:c r="H16" s="21" t="str"/>
      <x:c r="I16" s="21" t="str"/>
      <x:c r="J16" s="21" t="str"/>
      <x:c r="K16" s="21" t="str"/>
      <x:c r="L16" s="21" t="str">
        <x:v>待测试</x:v>
      </x:c>
      <x:c r="M16" s="24" t="str">
        <x:f>IF(L16&lt;&gt;"已完成","",G16+H16+I16+J16*2+IF(K16=0,1,0))</x:f>
      </x:c>
      <x:c r="N16" s="25" t="str"/>
      <x:c r="O16" s="22" t="str"/>
    </x:row>
    <x:row r="17" ht="54" customHeight="1">
      <x:c r="A17" s="17" t="str">
        <x:v>E015</x:v>
      </x:c>
      <x:c r="B17" s="15" t="str">
        <x:v>移动医疗器械的电池管理应考虑哪些安全有效性问题？</x:v>
      </x:c>
      <x:c r="C17" s="17" t="str">
        <x:v>DOC007</x:v>
      </x:c>
      <x:c r="D17" s="15" t="str">
        <x:v>五、技术考量（二）电池</x:v>
      </x:c>
      <x:c r="E17" s="22" t="str"/>
      <x:c r="F17" s="22" t="str"/>
      <x:c r="G17" s="21" t="str"/>
      <x:c r="H17" s="21" t="str"/>
      <x:c r="I17" s="21" t="str"/>
      <x:c r="J17" s="21" t="str"/>
      <x:c r="K17" s="21" t="str"/>
      <x:c r="L17" s="21" t="str">
        <x:v>待测试</x:v>
      </x:c>
      <x:c r="M17" s="24" t="str">
        <x:f>IF(L17&lt;&gt;"已完成","",G17+H17+I17+J17*2+IF(K17=0,1,0))</x:f>
      </x:c>
      <x:c r="N17" s="25" t="str"/>
      <x:c r="O17" s="22" t="str"/>
    </x:row>
    <x:row r="18" ht="54" customHeight="1">
      <x:c r="A18" s="18" t="str">
        <x:v>E016</x:v>
      </x:c>
      <x:c r="B18" s="16" t="str">
        <x:v>通用移动计算终端的开放外部软件环境会带来哪些风险，应如何控制？</x:v>
      </x:c>
      <x:c r="C18" s="18" t="str">
        <x:v>DOC007</x:v>
      </x:c>
      <x:c r="D18" s="16" t="str">
        <x:v>五、技术考量（三）外部软件环境</x:v>
      </x:c>
      <x:c r="E18" s="22" t="str"/>
      <x:c r="F18" s="22" t="str"/>
      <x:c r="G18" s="21" t="str"/>
      <x:c r="H18" s="21" t="str"/>
      <x:c r="I18" s="21" t="str"/>
      <x:c r="J18" s="21" t="str"/>
      <x:c r="K18" s="21" t="str"/>
      <x:c r="L18" s="21" t="str">
        <x:v>待测试</x:v>
      </x:c>
      <x:c r="M18" s="24" t="str">
        <x:f>IF(L18&lt;&gt;"已完成","",G18+H18+I18+J18*2+IF(K18=0,1,0))</x:f>
      </x:c>
      <x:c r="N18" s="25" t="str"/>
      <x:c r="O18" s="22" t="str"/>
    </x:row>
    <x:row r="19" ht="54" customHeight="1">
      <x:c r="A19" s="17" t="str">
        <x:v>E017</x:v>
      </x:c>
      <x:c r="B19" s="15" t="str">
        <x:v>面向非专业用户或采用穿戴式终端的移动医疗器械，应额外关注哪些设计和测试因素？</x:v>
      </x:c>
      <x:c r="C19" s="17" t="str">
        <x:v>DOC007</x:v>
      </x:c>
      <x:c r="D19" s="15" t="str">
        <x:v>五、技术考量（四）非专业用户使用；（五）穿戴式</x:v>
      </x:c>
      <x:c r="E19" s="22" t="str"/>
      <x:c r="F19" s="22" t="str"/>
      <x:c r="G19" s="21" t="str"/>
      <x:c r="H19" s="21" t="str"/>
      <x:c r="I19" s="21" t="str"/>
      <x:c r="J19" s="21" t="str"/>
      <x:c r="K19" s="21" t="str"/>
      <x:c r="L19" s="21" t="str">
        <x:v>待测试</x:v>
      </x:c>
      <x:c r="M19" s="24" t="str">
        <x:f>IF(L19&lt;&gt;"已完成","",G19+H19+I19+J19*2+IF(K19=0,1,0))</x:f>
      </x:c>
      <x:c r="N19" s="25" t="str"/>
      <x:c r="O19" s="22" t="str"/>
    </x:row>
    <x:row r="20" ht="54" customHeight="1">
      <x:c r="A20" s="18" t="str">
        <x:v>E018</x:v>
      </x:c>
      <x:c r="B20" s="16" t="str">
        <x:v>移动计算终端研究报告应重点说明哪些内容？</x:v>
      </x:c>
      <x:c r="C20" s="18" t="str">
        <x:v>DOC007</x:v>
      </x:c>
      <x:c r="D20" s="16" t="str">
        <x:v>六、移动计算终端研究资料</x:v>
      </x:c>
      <x:c r="E20" s="22" t="str"/>
      <x:c r="F20" s="22" t="str"/>
      <x:c r="G20" s="21" t="str"/>
      <x:c r="H20" s="21" t="str"/>
      <x:c r="I20" s="21" t="str"/>
      <x:c r="J20" s="21" t="str"/>
      <x:c r="K20" s="21" t="str"/>
      <x:c r="L20" s="21" t="str">
        <x:v>待测试</x:v>
      </x:c>
      <x:c r="M20" s="24" t="str">
        <x:f>IF(L20&lt;&gt;"已完成","",G20+H20+I20+J20*2+IF(K20=0,1,0))</x:f>
      </x:c>
      <x:c r="N20" s="25" t="str"/>
      <x:c r="O20" s="22" t="str"/>
    </x:row>
    <x:row r="21" ht="54" customHeight="1">
      <x:c r="A21" s="17" t="str">
        <x:v>E019</x:v>
      </x:c>
      <x:c r="B21" s="15" t="str">
        <x:v>《医疗器械产品技术要求编写指导原则》适用于什么文件，产品技术要求主要由哪些部分组成？</x:v>
      </x:c>
      <x:c r="C21" s="17" t="str">
        <x:v>DOC008</x:v>
      </x:c>
      <x:c r="D21" s="15" t="str">
        <x:v>一、适用范围；二、基本要求</x:v>
      </x:c>
      <x:c r="E21" s="22" t="str"/>
      <x:c r="F21" s="22" t="str"/>
      <x:c r="G21" s="21" t="str"/>
      <x:c r="H21" s="21" t="str"/>
      <x:c r="I21" s="21" t="str"/>
      <x:c r="J21" s="21" t="str"/>
      <x:c r="K21" s="21" t="str"/>
      <x:c r="L21" s="21" t="str">
        <x:v>待测试</x:v>
      </x:c>
      <x:c r="M21" s="24" t="str">
        <x:f>IF(L21&lt;&gt;"已完成","",G21+H21+I21+J21*2+IF(K21=0,1,0))</x:f>
      </x:c>
      <x:c r="N21" s="25" t="str"/>
      <x:c r="O21" s="22" t="str"/>
    </x:row>
    <x:row r="22" ht="54" customHeight="1">
      <x:c r="A22" s="18" t="str">
        <x:v>E020</x:v>
      </x:c>
      <x:c r="B22" s="16" t="str">
        <x:v>产品技术要求中的性能指标应具备哪些基本特征？</x:v>
      </x:c>
      <x:c r="C22" s="18" t="str">
        <x:v>DOC008</x:v>
      </x:c>
      <x:c r="D22" s="16" t="str">
        <x:v>三、性能指标</x:v>
      </x:c>
      <x:c r="E22" s="22" t="str"/>
      <x:c r="F22" s="22" t="str"/>
      <x:c r="G22" s="21" t="str"/>
      <x:c r="H22" s="21" t="str"/>
      <x:c r="I22" s="21" t="str"/>
      <x:c r="J22" s="21" t="str"/>
      <x:c r="K22" s="21" t="str"/>
      <x:c r="L22" s="21" t="str">
        <x:v>待测试</x:v>
      </x:c>
      <x:c r="M22" s="24" t="str">
        <x:f>IF(L22&lt;&gt;"已完成","",G22+H22+I22+J22*2+IF(K22=0,1,0))</x:f>
      </x:c>
      <x:c r="N22" s="25" t="str"/>
      <x:c r="O22" s="22" t="str"/>
    </x:row>
    <x:row r="23" ht="54" customHeight="1">
      <x:c r="A23" s="17" t="str">
        <x:v>E021</x:v>
      </x:c>
      <x:c r="B23" s="15" t="str">
        <x:v>产品的尺寸、外观等内容是否都必须列入产品技术要求的性能指标？</x:v>
      </x:c>
      <x:c r="C23" s="17" t="str">
        <x:v>DOC008</x:v>
      </x:c>
      <x:c r="D23" s="15" t="str">
        <x:v>三、性能指标</x:v>
      </x:c>
      <x:c r="E23" s="22" t="str"/>
      <x:c r="F23" s="22" t="str"/>
      <x:c r="G23" s="21" t="str"/>
      <x:c r="H23" s="21" t="str"/>
      <x:c r="I23" s="21" t="str"/>
      <x:c r="J23" s="21" t="str"/>
      <x:c r="K23" s="21" t="str"/>
      <x:c r="L23" s="21" t="str">
        <x:v>待测试</x:v>
      </x:c>
      <x:c r="M23" s="24" t="str">
        <x:f>IF(L23&lt;&gt;"已完成","",G23+H23+I23+J23*2+IF(K23=0,1,0))</x:f>
      </x:c>
      <x:c r="N23" s="25" t="str"/>
      <x:c r="O23" s="22" t="str"/>
    </x:row>
    <x:row r="24" ht="54" customHeight="1">
      <x:c r="A24" s="18" t="str">
        <x:v>E022</x:v>
      </x:c>
      <x:c r="B24" s="16" t="str">
        <x:v>编写产品技术要求时如何处理强制性标准和推荐性标准？</x:v>
      </x:c>
      <x:c r="C24" s="18" t="str">
        <x:v>DOC008</x:v>
      </x:c>
      <x:c r="D24" s="16" t="str">
        <x:v>三、性能指标</x:v>
      </x:c>
      <x:c r="E24" s="22" t="str"/>
      <x:c r="F24" s="22" t="str"/>
      <x:c r="G24" s="21" t="str"/>
      <x:c r="H24" s="21" t="str"/>
      <x:c r="I24" s="21" t="str"/>
      <x:c r="J24" s="21" t="str"/>
      <x:c r="K24" s="21" t="str"/>
      <x:c r="L24" s="21" t="str">
        <x:v>待测试</x:v>
      </x:c>
      <x:c r="M24" s="24" t="str">
        <x:f>IF(L24&lt;&gt;"已完成","",G24+H24+I24+J24*2+IF(K24=0,1,0))</x:f>
      </x:c>
      <x:c r="N24" s="25" t="str"/>
      <x:c r="O24" s="22" t="str"/>
    </x:row>
    <x:row r="25" ht="54" customHeight="1">
      <x:c r="A25" s="17" t="str">
        <x:v>E023</x:v>
      </x:c>
      <x:c r="B25" s="15" t="str">
        <x:v>产品技术要求中的性能指标能否只写“见附件”“按供货合同”或引用研究资料？</x:v>
      </x:c>
      <x:c r="C25" s="17" t="str">
        <x:v>DOC008</x:v>
      </x:c>
      <x:c r="D25" s="15" t="str">
        <x:v>三、性能指标</x:v>
      </x:c>
      <x:c r="E25" s="22" t="str"/>
      <x:c r="F25" s="22" t="str"/>
      <x:c r="G25" s="21" t="str"/>
      <x:c r="H25" s="21" t="str"/>
      <x:c r="I25" s="21" t="str"/>
      <x:c r="J25" s="21" t="str"/>
      <x:c r="K25" s="21" t="str"/>
      <x:c r="L25" s="21" t="str">
        <x:v>待测试</x:v>
      </x:c>
      <x:c r="M25" s="24" t="str">
        <x:f>IF(L25&lt;&gt;"已完成","",G25+H25+I25+J25*2+IF(K25=0,1,0))</x:f>
      </x:c>
      <x:c r="N25" s="25" t="str"/>
      <x:c r="O25" s="22" t="str"/>
    </x:row>
    <x:row r="26" ht="54" customHeight="1">
      <x:c r="A26" s="18" t="str">
        <x:v>E024</x:v>
      </x:c>
      <x:c r="B26" s="16" t="str">
        <x:v>产品技术要求中的检验方法应如何与性能指标匹配？</x:v>
      </x:c>
      <x:c r="C26" s="18" t="str">
        <x:v>DOC008</x:v>
      </x:c>
      <x:c r="D26" s="16" t="str">
        <x:v>四、检验方法</x:v>
      </x:c>
      <x:c r="E26" s="22" t="str"/>
      <x:c r="F26" s="22" t="str"/>
      <x:c r="G26" s="21" t="str"/>
      <x:c r="H26" s="21" t="str"/>
      <x:c r="I26" s="21" t="str"/>
      <x:c r="J26" s="21" t="str"/>
      <x:c r="K26" s="21" t="str"/>
      <x:c r="L26" s="21" t="str">
        <x:v>待测试</x:v>
      </x:c>
      <x:c r="M26" s="24" t="str">
        <x:f>IF(L26&lt;&gt;"已完成","",G26+H26+I26+J26*2+IF(K26=0,1,0))</x:f>
      </x:c>
      <x:c r="N26" s="25" t="str"/>
      <x:c r="O26" s="22" t="str"/>
    </x:row>
    <x:row r="27" ht="54" customHeight="1">
      <x:c r="A27" s="17" t="str">
        <x:v>E025</x:v>
      </x:c>
      <x:c r="B27" s="15" t="str">
        <x:v>一个完整、可执行的产品检验方法通常需要写明哪些要素？</x:v>
      </x:c>
      <x:c r="C27" s="17" t="str">
        <x:v>DOC008</x:v>
      </x:c>
      <x:c r="D27" s="15" t="str">
        <x:v>四、检验方法</x:v>
      </x:c>
      <x:c r="E27" s="22" t="str"/>
      <x:c r="F27" s="22" t="str"/>
      <x:c r="G27" s="21" t="str"/>
      <x:c r="H27" s="21" t="str"/>
      <x:c r="I27" s="21" t="str"/>
      <x:c r="J27" s="21" t="str"/>
      <x:c r="K27" s="21" t="str"/>
      <x:c r="L27" s="21" t="str">
        <x:v>待测试</x:v>
      </x:c>
      <x:c r="M27" s="24" t="str">
        <x:f>IF(L27&lt;&gt;"已完成","",G27+H27+I27+J27*2+IF(K27=0,1,0))</x:f>
      </x:c>
      <x:c r="N27" s="25" t="str"/>
      <x:c r="O27" s="22" t="str"/>
    </x:row>
    <x:row r="28" ht="54" customHeight="1">
      <x:c r="A28" s="18" t="str">
        <x:v>E026</x:v>
      </x:c>
      <x:c r="B28" s="16" t="str">
        <x:v>医疗器械产品技术要求的首页、编号和页面编排有哪些基本格式要求？</x:v>
      </x:c>
      <x:c r="C28" s="18" t="str">
        <x:v>DOC008</x:v>
      </x:c>
      <x:c r="D28" s="16" t="str">
        <x:v>附件：医疗器械产品技术要求格式</x:v>
      </x:c>
      <x:c r="E28" s="22" t="str"/>
      <x:c r="F28" s="22" t="str"/>
      <x:c r="G28" s="21" t="str"/>
      <x:c r="H28" s="21" t="str"/>
      <x:c r="I28" s="21" t="str"/>
      <x:c r="J28" s="21" t="str"/>
      <x:c r="K28" s="21" t="str"/>
      <x:c r="L28" s="21" t="str">
        <x:v>待测试</x:v>
      </x:c>
      <x:c r="M28" s="24" t="str">
        <x:f>IF(L28&lt;&gt;"已完成","",G28+H28+I28+J28*2+IF(K28=0,1,0))</x:f>
      </x:c>
      <x:c r="N28" s="25" t="str"/>
      <x:c r="O28" s="22" t="str"/>
    </x:row>
    <x:row r="29" ht="54" customHeight="1">
      <x:c r="A29" s="17" t="str">
        <x:v>E027</x:v>
      </x:c>
      <x:c r="B29" s="15" t="str">
        <x:v>FDA软件文档等级评估应提交什么结论和论证？</x:v>
      </x:c>
      <x:c r="C29" s="17" t="str">
        <x:v>DOC009</x:v>
      </x:c>
      <x:c r="D29" s="15" t="str">
        <x:v>VI.A Documentation Level Evaluation</x:v>
      </x:c>
      <x:c r="E29" s="22" t="str"/>
      <x:c r="F29" s="22" t="str"/>
      <x:c r="G29" s="21" t="str"/>
      <x:c r="H29" s="21" t="str"/>
      <x:c r="I29" s="21" t="str"/>
      <x:c r="J29" s="21" t="str"/>
      <x:c r="K29" s="21" t="str"/>
      <x:c r="L29" s="21" t="str">
        <x:v>待测试</x:v>
      </x:c>
      <x:c r="M29" s="24" t="str">
        <x:f>IF(L29&lt;&gt;"已完成","",G29+H29+I29+J29*2+IF(K29=0,1,0))</x:f>
      </x:c>
      <x:c r="N29" s="25" t="str"/>
      <x:c r="O29" s="22" t="str"/>
    </x:row>
    <x:row r="30" ht="54" customHeight="1">
      <x:c r="A30" s="18" t="str">
        <x:v>E028</x:v>
      </x:c>
      <x:c r="B30" s="16" t="str">
        <x:v>FDA通常建议哪些器械在上市前申报中提供Enhanced软件文档？</x:v>
      </x:c>
      <x:c r="C30" s="18" t="str">
        <x:v>DOC009</x:v>
      </x:c>
      <x:c r="D30" s="16" t="str">
        <x:v>V. Documentation Level</x:v>
      </x:c>
      <x:c r="E30" s="22" t="str"/>
      <x:c r="F30" s="22" t="str"/>
      <x:c r="G30" s="21" t="str"/>
      <x:c r="H30" s="21" t="str"/>
      <x:c r="I30" s="21" t="str"/>
      <x:c r="J30" s="21" t="str"/>
      <x:c r="K30" s="21" t="str"/>
      <x:c r="L30" s="21" t="str">
        <x:v>待测试</x:v>
      </x:c>
      <x:c r="M30" s="24" t="str">
        <x:f>IF(L30&lt;&gt;"已完成","",G30+H30+I30+J30*2+IF(K30=0,1,0))</x:f>
      </x:c>
      <x:c r="N30" s="25" t="str"/>
      <x:c r="O30" s="22" t="str"/>
    </x:row>
    <x:row r="31" ht="54" customHeight="1">
      <x:c r="A31" s="17" t="str">
        <x:v>E029</x:v>
      </x:c>
      <x:c r="B31" s="15" t="str">
        <x:v>FDA上市前申报中的软件描述应至少说明哪些内容？</x:v>
      </x:c>
      <x:c r="C31" s="17" t="str">
        <x:v>DOC009</x:v>
      </x:c>
      <x:c r="D31" s="15" t="str">
        <x:v>VI.B Software Description</x:v>
      </x:c>
      <x:c r="E31" s="22" t="str"/>
      <x:c r="F31" s="22" t="str"/>
      <x:c r="G31" s="21" t="str"/>
      <x:c r="H31" s="21" t="str"/>
      <x:c r="I31" s="21" t="str"/>
      <x:c r="J31" s="21" t="str"/>
      <x:c r="K31" s="21" t="str"/>
      <x:c r="L31" s="21" t="str">
        <x:v>待测试</x:v>
      </x:c>
      <x:c r="M31" s="24" t="str">
        <x:f>IF(L31&lt;&gt;"已完成","",G31+H31+I31+J31*2+IF(K31=0,1,0))</x:f>
      </x:c>
      <x:c r="N31" s="25" t="str"/>
      <x:c r="O31" s="22" t="str"/>
    </x:row>
    <x:row r="32" ht="54" customHeight="1">
      <x:c r="A32" s="18" t="str">
        <x:v>E030</x:v>
      </x:c>
      <x:c r="B32" s="16" t="str">
        <x:v>FDA重点关注风险管理计划中的哪两类准则或方法？</x:v>
      </x:c>
      <x:c r="C32" s="18" t="str">
        <x:v>DOC009</x:v>
      </x:c>
      <x:c r="D32" s="16" t="str">
        <x:v>VI.C(1) Risk Management Plan</x:v>
      </x:c>
      <x:c r="E32" s="22" t="str"/>
      <x:c r="F32" s="22" t="str"/>
      <x:c r="G32" s="21" t="str"/>
      <x:c r="H32" s="21" t="str"/>
      <x:c r="I32" s="21" t="str"/>
      <x:c r="J32" s="21" t="str"/>
      <x:c r="K32" s="21" t="str"/>
      <x:c r="L32" s="21" t="str">
        <x:v>待测试</x:v>
      </x:c>
      <x:c r="M32" s="24" t="str">
        <x:f>IF(L32&lt;&gt;"已完成","",G32+H32+I32+J32*2+IF(K32=0,1,0))</x:f>
      </x:c>
      <x:c r="N32" s="25" t="str"/>
      <x:c r="O32" s="22" t="str"/>
    </x:row>
    <x:row r="33" ht="54" customHeight="1">
      <x:c r="A33" s="17" t="str">
        <x:v>E031</x:v>
      </x:c>
      <x:c r="B33" s="15" t="str">
        <x:v>FDA建议器械软件风险评估包含哪些环节，风险控制措施的优先顺序是什么？</x:v>
      </x:c>
      <x:c r="C33" s="17" t="str">
        <x:v>DOC009</x:v>
      </x:c>
      <x:c r="D33" s="15" t="str">
        <x:v>VI.C(2) Risk Assessment</x:v>
      </x:c>
      <x:c r="E33" s="22" t="str"/>
      <x:c r="F33" s="22" t="str"/>
      <x:c r="G33" s="21" t="str"/>
      <x:c r="H33" s="21" t="str"/>
      <x:c r="I33" s="21" t="str"/>
      <x:c r="J33" s="21" t="str"/>
      <x:c r="K33" s="21" t="str"/>
      <x:c r="L33" s="21" t="str">
        <x:v>待测试</x:v>
      </x:c>
      <x:c r="M33" s="24" t="str">
        <x:f>IF(L33&lt;&gt;"已完成","",G33+H33+I33+J33*2+IF(K33=0,1,0))</x:f>
      </x:c>
      <x:c r="N33" s="25" t="str"/>
      <x:c r="O33" s="22" t="str"/>
    </x:row>
    <x:row r="34" ht="54" customHeight="1">
      <x:c r="A34" s="18" t="str">
        <x:v>E032</x:v>
      </x:c>
      <x:c r="B34" s="16" t="str">
        <x:v>FDA建议风险管理报告证明哪三方面内容？</x:v>
      </x:c>
      <x:c r="C34" s="18" t="str">
        <x:v>DOC009</x:v>
      </x:c>
      <x:c r="D34" s="16" t="str">
        <x:v>VI.C(3) Risk Management Report</x:v>
      </x:c>
      <x:c r="E34" s="22" t="str"/>
      <x:c r="F34" s="22" t="str"/>
      <x:c r="G34" s="21" t="str"/>
      <x:c r="H34" s="21" t="str"/>
      <x:c r="I34" s="21" t="str"/>
      <x:c r="J34" s="21" t="str"/>
      <x:c r="K34" s="21" t="str"/>
      <x:c r="L34" s="21" t="str">
        <x:v>待测试</x:v>
      </x:c>
      <x:c r="M34" s="24" t="str">
        <x:f>IF(L34&lt;&gt;"已完成","",G34+H34+I34+J34*2+IF(K34=0,1,0))</x:f>
      </x:c>
      <x:c r="N34" s="25" t="str"/>
      <x:c r="O34" s="22" t="str"/>
    </x:row>
    <x:row r="35" ht="54" customHeight="1">
      <x:c r="A35" s="17" t="str">
        <x:v>E033</x:v>
      </x:c>
      <x:c r="B35" s="15" t="str">
        <x:v>FDA建议软件需求规范（SRS）覆盖哪些需求，并具备哪些质量特性？</x:v>
      </x:c>
      <x:c r="C35" s="17" t="str">
        <x:v>DOC009</x:v>
      </x:c>
      <x:c r="D35" s="15" t="str">
        <x:v>VI.D Software Requirements Specification</x:v>
      </x:c>
      <x:c r="E35" s="22" t="str"/>
      <x:c r="F35" s="22" t="str"/>
      <x:c r="G35" s="21" t="str"/>
      <x:c r="H35" s="21" t="str"/>
      <x:c r="I35" s="21" t="str"/>
      <x:c r="J35" s="21" t="str"/>
      <x:c r="K35" s="21" t="str"/>
      <x:c r="L35" s="21" t="str">
        <x:v>待测试</x:v>
      </x:c>
      <x:c r="M35" s="24" t="str">
        <x:f>IF(L35&lt;&gt;"已完成","",G35+H35+I35+J35*2+IF(K35=0,1,0))</x:f>
      </x:c>
      <x:c r="N35" s="25" t="str"/>
      <x:c r="O35" s="22" t="str"/>
    </x:row>
    <x:row r="36" ht="54" customHeight="1">
      <x:c r="A36" s="18" t="str">
        <x:v>E034</x:v>
      </x:c>
      <x:c r="B36" s="16" t="str">
        <x:v>系统与软件架构图应帮助FDA理解哪些关系？</x:v>
      </x:c>
      <x:c r="C36" s="18" t="str">
        <x:v>DOC009</x:v>
      </x:c>
      <x:c r="D36" s="16" t="str">
        <x:v>VI.E System and Software Architecture Diagram</x:v>
      </x:c>
      <x:c r="E36" s="22" t="str"/>
      <x:c r="F36" s="22" t="str"/>
      <x:c r="G36" s="21" t="str"/>
      <x:c r="H36" s="21" t="str"/>
      <x:c r="I36" s="21" t="str"/>
      <x:c r="J36" s="21" t="str"/>
      <x:c r="K36" s="21" t="str"/>
      <x:c r="L36" s="21" t="str">
        <x:v>待测试</x:v>
      </x:c>
      <x:c r="M36" s="24" t="str">
        <x:f>IF(L36&lt;&gt;"已完成","",G36+H36+I36+J36*2+IF(K36=0,1,0))</x:f>
      </x:c>
      <x:c r="N36" s="25" t="str"/>
      <x:c r="O36" s="22" t="str"/>
    </x:row>
    <x:row r="37" ht="54" customHeight="1">
      <x:c r="A37" s="17" t="str">
        <x:v>E035</x:v>
      </x:c>
      <x:c r="B37" s="15" t="str">
        <x:v>Basic和Enhanced文档等级对软件设计规范（SDS）的提交要求有何不同？</x:v>
      </x:c>
      <x:c r="C37" s="17" t="str">
        <x:v>DOC009</x:v>
      </x:c>
      <x:c r="D37" s="15" t="str">
        <x:v>VI.F Software Design Specification</x:v>
      </x:c>
      <x:c r="E37" s="22" t="str"/>
      <x:c r="F37" s="22" t="str"/>
      <x:c r="G37" s="21" t="str"/>
      <x:c r="H37" s="21" t="str"/>
      <x:c r="I37" s="21" t="str"/>
      <x:c r="J37" s="21" t="str"/>
      <x:c r="K37" s="21" t="str"/>
      <x:c r="L37" s="21" t="str">
        <x:v>待测试</x:v>
      </x:c>
      <x:c r="M37" s="24" t="str">
        <x:f>IF(L37&lt;&gt;"已完成","",G37+H37+I37+J37*2+IF(K37=0,1,0))</x:f>
      </x:c>
      <x:c r="N37" s="25" t="str"/>
      <x:c r="O37" s="22" t="str"/>
    </x:row>
    <x:row r="38" ht="54" customHeight="1">
      <x:c r="A38" s="18" t="str">
        <x:v>E036</x:v>
      </x:c>
      <x:c r="B38" s="16" t="str">
        <x:v>Basic文档等级的软件测试资料至少应包含哪些内容？</x:v>
      </x:c>
      <x:c r="C38" s="18" t="str">
        <x:v>DOC009</x:v>
      </x:c>
      <x:c r="D38" s="16" t="str">
        <x:v>VI.H(1) Basic Documentation Level</x:v>
      </x:c>
      <x:c r="E38" s="22" t="str"/>
      <x:c r="F38" s="22" t="str"/>
      <x:c r="G38" s="21" t="str"/>
      <x:c r="H38" s="21" t="str"/>
      <x:c r="I38" s="21" t="str"/>
      <x:c r="J38" s="21" t="str"/>
      <x:c r="K38" s="21" t="str"/>
      <x:c r="L38" s="21" t="str">
        <x:v>待测试</x:v>
      </x:c>
      <x:c r="M38" s="24" t="str">
        <x:f>IF(L38&lt;&gt;"已完成","",G38+H38+I38+J38*2+IF(K38=0,1,0))</x:f>
      </x:c>
      <x:c r="N38" s="25" t="str"/>
      <x:c r="O38" s="22" t="str"/>
    </x:row>
    <x:row r="39" ht="54" customHeight="1">
      <x:c r="A39" s="17" t="str">
        <x:v>E037</x:v>
      </x:c>
      <x:c r="B39" s="15" t="str">
        <x:v>FDA建议软件版本历史以什么方式记录，最终条目还需说明什么？</x:v>
      </x:c>
      <x:c r="C39" s="17" t="str">
        <x:v>DOC009</x:v>
      </x:c>
      <x:c r="D39" s="15" t="str">
        <x:v>VI.I Software Version History</x:v>
      </x:c>
      <x:c r="E39" s="22" t="str"/>
      <x:c r="F39" s="22" t="str"/>
      <x:c r="G39" s="21" t="str"/>
      <x:c r="H39" s="21" t="str"/>
      <x:c r="I39" s="21" t="str"/>
      <x:c r="J39" s="21" t="str"/>
      <x:c r="K39" s="21" t="str"/>
      <x:c r="L39" s="21" t="str">
        <x:v>待测试</x:v>
      </x:c>
      <x:c r="M39" s="24" t="str">
        <x:f>IF(L39&lt;&gt;"已完成","",G39+H39+I39+J39*2+IF(K39=0,1,0))</x:f>
      </x:c>
      <x:c r="N39" s="25" t="str"/>
      <x:c r="O39" s="22" t="str"/>
    </x:row>
    <x:row r="40" ht="54" customHeight="1">
      <x:c r="A40" s="18" t="str">
        <x:v>E038</x:v>
      </x:c>
      <x:c r="B40" s="16" t="str">
        <x:v>上市前申报中的未解决软件异常清单应记录哪些信息？</x:v>
      </x:c>
      <x:c r="C40" s="18" t="str">
        <x:v>DOC009</x:v>
      </x:c>
      <x:c r="D40" s="16" t="str">
        <x:v>VI.J Unresolved Software Anomalies</x:v>
      </x:c>
      <x:c r="E40" s="22" t="str"/>
      <x:c r="F40" s="22" t="str"/>
      <x:c r="G40" s="21" t="str"/>
      <x:c r="H40" s="21" t="str"/>
      <x:c r="I40" s="21" t="str"/>
      <x:c r="J40" s="21" t="str"/>
      <x:c r="K40" s="21" t="str"/>
      <x:c r="L40" s="21" t="str">
        <x:v>待测试</x:v>
      </x:c>
      <x:c r="M40" s="24" t="str">
        <x:f>IF(L40&lt;&gt;"已完成","",G40+H40+I40+J40*2+IF(K40=0,1,0))</x:f>
      </x:c>
      <x:c r="N40" s="25" t="str"/>
      <x:c r="O40" s="22" t="str"/>
    </x:row>
    <x:row r="41" ht="54" customHeight="1">
      <x:c r="A41" s="17" t="str">
        <x:v>E039</x:v>
      </x:c>
      <x:c r="B41" s="15" t="str">
        <x:v>FDA第524B条所称“cyber device”需要同时满足哪三个条件？</x:v>
      </x:c>
      <x:c r="C41" s="17" t="str">
        <x:v>DOC010</x:v>
      </x:c>
      <x:c r="D41" s="15" t="str">
        <x:v>VII.B Devices Subject to Section 524B</x:v>
      </x:c>
      <x:c r="E41" s="22" t="str"/>
      <x:c r="F41" s="22" t="str"/>
      <x:c r="G41" s="21" t="str"/>
      <x:c r="H41" s="21" t="str"/>
      <x:c r="I41" s="21" t="str"/>
      <x:c r="J41" s="21" t="str"/>
      <x:c r="K41" s="21" t="str"/>
      <x:c r="L41" s="21" t="str">
        <x:v>待测试</x:v>
      </x:c>
      <x:c r="M41" s="24" t="str">
        <x:f>IF(L41&lt;&gt;"已完成","",G41+H41+I41+J41*2+IF(K41=0,1,0))</x:f>
      </x:c>
      <x:c r="N41" s="25" t="str"/>
      <x:c r="O41" s="22" t="str"/>
    </x:row>
    <x:row r="42" ht="54" customHeight="1">
      <x:c r="A42" s="18" t="str">
        <x:v>E040</x:v>
      </x:c>
      <x:c r="B42" s="16" t="str">
        <x:v>哪些FDA上市前申报类型涉及cyber device时需要按第524B条提交网络安全信息？</x:v>
      </x:c>
      <x:c r="C42" s="18" t="str">
        <x:v>DOC010</x:v>
      </x:c>
      <x:c r="D42" s="16" t="str">
        <x:v>VII.A Who is Required to Comply with Section 524B</x:v>
      </x:c>
      <x:c r="E42" s="22" t="str"/>
      <x:c r="F42" s="22" t="str"/>
      <x:c r="G42" s="21" t="str"/>
      <x:c r="H42" s="21" t="str"/>
      <x:c r="I42" s="21" t="str"/>
      <x:c r="J42" s="21" t="str"/>
      <x:c r="K42" s="21" t="str"/>
      <x:c r="L42" s="21" t="str">
        <x:v>待测试</x:v>
      </x:c>
      <x:c r="M42" s="24" t="str">
        <x:f>IF(L42&lt;&gt;"已完成","",G42+H42+I42+J42*2+IF(K42=0,1,0))</x:f>
      </x:c>
      <x:c r="N42" s="25" t="str"/>
      <x:c r="O42" s="22" t="str"/>
    </x:row>
    <x:row r="43" ht="54" customHeight="1">
      <x:c r="A43" s="17" t="str">
        <x:v>E041</x:v>
      </x:c>
      <x:c r="B43" s="15" t="str">
        <x:v>什么是安全产品开发框架（SPDF），它应覆盖器械生命周期的哪些阶段？</x:v>
      </x:c>
      <x:c r="C43" s="17" t="str">
        <x:v>DOC010</x:v>
      </x:c>
      <x:c r="D43" s="15" t="str">
        <x:v>IV.A.1 A Secure Product Development Framework</x:v>
      </x:c>
      <x:c r="E43" s="22" t="str"/>
      <x:c r="F43" s="22" t="str"/>
      <x:c r="G43" s="21" t="str"/>
      <x:c r="H43" s="21" t="str"/>
      <x:c r="I43" s="21" t="str"/>
      <x:c r="J43" s="21" t="str"/>
      <x:c r="K43" s="21" t="str"/>
      <x:c r="L43" s="21" t="str">
        <x:v>待测试</x:v>
      </x:c>
      <x:c r="M43" s="24" t="str">
        <x:f>IF(L43&lt;&gt;"已完成","",G43+H43+I43+J43*2+IF(K43=0,1,0))</x:f>
      </x:c>
      <x:c r="N43" s="25" t="str"/>
      <x:c r="O43" s="22" t="str"/>
    </x:row>
    <x:row r="44" ht="54" customHeight="1">
      <x:c r="A44" s="18" t="str">
        <x:v>E042</x:v>
      </x:c>
      <x:c r="B44" s="16" t="str">
        <x:v>FDA建议威胁模型至少识别和记录哪些内容？</x:v>
      </x:c>
      <x:c r="C44" s="18" t="str">
        <x:v>DOC010</x:v>
      </x:c>
      <x:c r="D44" s="16" t="str">
        <x:v>V.A.1 Threat Modeling</x:v>
      </x:c>
      <x:c r="E44" s="22" t="str"/>
      <x:c r="F44" s="22" t="str"/>
      <x:c r="G44" s="21" t="str"/>
      <x:c r="H44" s="21" t="str"/>
      <x:c r="I44" s="21" t="str"/>
      <x:c r="J44" s="21" t="str"/>
      <x:c r="K44" s="21" t="str"/>
      <x:c r="L44" s="21" t="str">
        <x:v>待测试</x:v>
      </x:c>
      <x:c r="M44" s="24" t="str">
        <x:f>IF(L44&lt;&gt;"已完成","",G44+H44+I44+J44*2+IF(K44=0,1,0))</x:f>
      </x:c>
      <x:c r="N44" s="25" t="str"/>
      <x:c r="O44" s="22" t="str"/>
    </x:row>
    <x:row r="45" ht="54" customHeight="1">
      <x:c r="A45" s="17" t="str">
        <x:v>E043</x:v>
      </x:c>
      <x:c r="B45" s="15" t="str">
        <x:v>网络安全风险评估为何不能只按历史概率量化，FDA建议重点评估什么？</x:v>
      </x:c>
      <x:c r="C45" s="17" t="str">
        <x:v>DOC010</x:v>
      </x:c>
      <x:c r="D45" s="15" t="str">
        <x:v>V.A.2 Cybersecurity Risk Assessment</x:v>
      </x:c>
      <x:c r="E45" s="22" t="str"/>
      <x:c r="F45" s="22" t="str"/>
      <x:c r="G45" s="21" t="str"/>
      <x:c r="H45" s="21" t="str"/>
      <x:c r="I45" s="21" t="str"/>
      <x:c r="J45" s="21" t="str"/>
      <x:c r="K45" s="21" t="str"/>
      <x:c r="L45" s="21" t="str">
        <x:v>待测试</x:v>
      </x:c>
      <x:c r="M45" s="24" t="str">
        <x:f>IF(L45&lt;&gt;"已完成","",G45+H45+I45+J45*2+IF(K45=0,1,0))</x:f>
      </x:c>
      <x:c r="N45" s="25" t="str"/>
      <x:c r="O45" s="22" t="str"/>
    </x:row>
    <x:row r="46" ht="54" customHeight="1">
      <x:c r="A46" s="18" t="str">
        <x:v>E044</x:v>
      </x:c>
      <x:c r="B46" s="16" t="str">
        <x:v>评估端到端医疗器械系统网络安全时，互操作功能应考虑哪些典型接口？</x:v>
      </x:c>
      <x:c r="C46" s="18" t="str">
        <x:v>DOC010</x:v>
      </x:c>
      <x:c r="D46" s="16" t="str">
        <x:v>V.A.3 Interoperability Considerations</x:v>
      </x:c>
      <x:c r="E46" s="22" t="str"/>
      <x:c r="F46" s="22" t="str"/>
      <x:c r="G46" s="21" t="str"/>
      <x:c r="H46" s="21" t="str"/>
      <x:c r="I46" s="21" t="str"/>
      <x:c r="J46" s="21" t="str"/>
      <x:c r="K46" s="21" t="str"/>
      <x:c r="L46" s="21" t="str">
        <x:v>待测试</x:v>
      </x:c>
      <x:c r="M46" s="24" t="str">
        <x:f>IF(L46&lt;&gt;"已完成","",G46+H46+I46+J46*2+IF(K46=0,1,0))</x:f>
      </x:c>
      <x:c r="N46" s="25" t="str"/>
      <x:c r="O46" s="22" t="str"/>
    </x:row>
    <x:row r="47" ht="54" customHeight="1">
      <x:c r="A47" s="17" t="str">
        <x:v>E045</x:v>
      </x:c>
      <x:c r="B47" s="15" t="str">
        <x:v>FDA对软件物料清单（SBOM）的格式和用途有哪些主要建议？</x:v>
      </x:c>
      <x:c r="C47" s="17" t="str">
        <x:v>DOC010</x:v>
      </x:c>
      <x:c r="D47" s="15" t="str">
        <x:v>V.A.4 Third-Party Software Components；VII.C.3 SBOM</x:v>
      </x:c>
      <x:c r="E47" s="22" t="str"/>
      <x:c r="F47" s="22" t="str"/>
      <x:c r="G47" s="21" t="str"/>
      <x:c r="H47" s="21" t="str"/>
      <x:c r="I47" s="21" t="str"/>
      <x:c r="J47" s="21" t="str"/>
      <x:c r="K47" s="21" t="str"/>
      <x:c r="L47" s="21" t="str">
        <x:v>待测试</x:v>
      </x:c>
      <x:c r="M47" s="24" t="str">
        <x:f>IF(L47&lt;&gt;"已完成","",G47+H47+I47+J47*2+IF(K47=0,1,0))</x:f>
      </x:c>
      <x:c r="N47" s="25" t="str"/>
      <x:c r="O47" s="22" t="str"/>
    </x:row>
    <x:row r="48" ht="54" customHeight="1">
      <x:c r="A48" s="18" t="str">
        <x:v>E046</x:v>
      </x:c>
      <x:c r="B48" s="16" t="str">
        <x:v>为什么普通软件风险可接受的未解决异常仍需进行网络安全影响评估？</x:v>
      </x:c>
      <x:c r="C48" s="18" t="str">
        <x:v>DOC010</x:v>
      </x:c>
      <x:c r="D48" s="16" t="str">
        <x:v>V.A.5 Security Assessment of Unresolved Anomalies</x:v>
      </x:c>
      <x:c r="E48" s="22" t="str"/>
      <x:c r="F48" s="22" t="str"/>
      <x:c r="G48" s="21" t="str"/>
      <x:c r="H48" s="21" t="str"/>
      <x:c r="I48" s="21" t="str"/>
      <x:c r="J48" s="21" t="str"/>
      <x:c r="K48" s="21" t="str"/>
      <x:c r="L48" s="21" t="str">
        <x:v>待测试</x:v>
      </x:c>
      <x:c r="M48" s="24" t="str">
        <x:f>IF(L48&lt;&gt;"已完成","",G48+H48+I48+J48*2+IF(K48=0,1,0))</x:f>
      </x:c>
      <x:c r="N48" s="25" t="str"/>
      <x:c r="O48" s="22" t="str"/>
    </x:row>
    <x:row r="49" ht="54" customHeight="1">
      <x:c r="A49" s="17" t="str">
        <x:v>E047</x:v>
      </x:c>
      <x:c r="B49" s="15" t="str">
        <x:v>器械发布后，安全风险管理文档应如何持续维护？</x:v>
      </x:c>
      <x:c r="C49" s="17" t="str">
        <x:v>DOC010</x:v>
      </x:c>
      <x:c r="D49" s="15" t="str">
        <x:v>V.A.6 TPLC Security Risk Management</x:v>
      </x:c>
      <x:c r="E49" s="22" t="str"/>
      <x:c r="F49" s="22" t="str"/>
      <x:c r="G49" s="21" t="str"/>
      <x:c r="H49" s="21" t="str"/>
      <x:c r="I49" s="21" t="str"/>
      <x:c r="J49" s="21" t="str"/>
      <x:c r="K49" s="21" t="str"/>
      <x:c r="L49" s="21" t="str">
        <x:v>待测试</x:v>
      </x:c>
      <x:c r="M49" s="24" t="str">
        <x:f>IF(L49&lt;&gt;"已完成","",G49+H49+I49+J49*2+IF(K49=0,1,0))</x:f>
      </x:c>
      <x:c r="N49" s="25" t="str"/>
      <x:c r="O49" s="22" t="str"/>
    </x:row>
    <x:row r="50" ht="54" customHeight="1">
      <x:c r="A50" s="18" t="str">
        <x:v>E048</x:v>
      </x:c>
      <x:c r="B50" s="16" t="str">
        <x:v>FDA建议医疗器械安全控制至少覆盖哪八类？</x:v>
      </x:c>
      <x:c r="C50" s="18" t="str">
        <x:v>DOC010</x:v>
      </x:c>
      <x:c r="D50" s="16" t="str">
        <x:v>V.B.1 Implementation of Security Controls</x:v>
      </x:c>
      <x:c r="E50" s="22" t="str"/>
      <x:c r="F50" s="22" t="str"/>
      <x:c r="G50" s="21" t="str"/>
      <x:c r="H50" s="21" t="str"/>
      <x:c r="I50" s="21" t="str"/>
      <x:c r="J50" s="21" t="str"/>
      <x:c r="K50" s="21" t="str"/>
      <x:c r="L50" s="21" t="str">
        <x:v>待测试</x:v>
      </x:c>
      <x:c r="M50" s="24" t="str">
        <x:f>IF(L50&lt;&gt;"已完成","",G50+H50+I50+J50*2+IF(K50=0,1,0))</x:f>
      </x:c>
      <x:c r="N50" s="25" t="str"/>
      <x:c r="O50" s="22" t="str"/>
    </x:row>
    <x:row r="51" ht="54" customHeight="1">
      <x:c r="A51" s="17" t="str">
        <x:v>E049</x:v>
      </x:c>
      <x:c r="B51" s="15" t="str">
        <x:v>FDA建议上市前申报至少提供哪四类安全架构视图？</x:v>
      </x:c>
      <x:c r="C51" s="17" t="str">
        <x:v>DOC010</x:v>
      </x:c>
      <x:c r="D51" s="15" t="str">
        <x:v>V.B.2 Security Architecture Views</x:v>
      </x:c>
      <x:c r="E51" s="22" t="str"/>
      <x:c r="F51" s="22" t="str"/>
      <x:c r="G51" s="21" t="str"/>
      <x:c r="H51" s="21" t="str"/>
      <x:c r="I51" s="21" t="str"/>
      <x:c r="J51" s="21" t="str"/>
      <x:c r="K51" s="21" t="str"/>
      <x:c r="L51" s="21" t="str">
        <x:v>待测试</x:v>
      </x:c>
      <x:c r="M51" s="24" t="str">
        <x:f>IF(L51&lt;&gt;"已完成","",G51+H51+I51+J51*2+IF(K51=0,1,0))</x:f>
      </x:c>
      <x:c r="N51" s="25" t="str"/>
      <x:c r="O51" s="22" t="str"/>
    </x:row>
    <x:row r="52" ht="54" customHeight="1">
      <x:c r="A52" s="18" t="str">
        <x:v>E050</x:v>
      </x:c>
      <x:c r="B52" s="16" t="str">
        <x:v>网络安全测试应在何时开展，对延期修复的问题应提交什么计划？</x:v>
      </x:c>
      <x:c r="C52" s="18" t="str">
        <x:v>DOC010</x:v>
      </x:c>
      <x:c r="D52" s="16" t="str">
        <x:v>V.C Cybersecurity Testing</x:v>
      </x:c>
      <x:c r="E52" s="22" t="str"/>
      <x:c r="F52" s="22" t="str"/>
      <x:c r="G52" s="21" t="str"/>
      <x:c r="H52" s="21" t="str"/>
      <x:c r="I52" s="21" t="str"/>
      <x:c r="J52" s="21" t="str"/>
      <x:c r="K52" s="21" t="str"/>
      <x:c r="L52" s="21" t="str">
        <x:v>待测试</x:v>
      </x:c>
      <x:c r="M52" s="24" t="str">
        <x:f>IF(L52&lt;&gt;"已完成","",G52+H52+I52+J52*2+IF(K52=0,1,0))</x:f>
      </x:c>
      <x:c r="N52" s="25" t="str"/>
      <x:c r="O52" s="22" t="str"/>
    </x:row>
    <x:row r="53" ht="54" customHeight="1">
      <x:c r="A53" s="17" t="str">
        <x:v>E051</x:v>
      </x:c>
      <x:c r="B53" s="15" t="str">
        <x:v>具有网络安全风险的医疗器械标签应向用户提供哪些关键信息？</x:v>
      </x:c>
      <x:c r="C53" s="17" t="str">
        <x:v>DOC010</x:v>
      </x:c>
      <x:c r="D53" s="15" t="str">
        <x:v>VI.A Labeling Recommendations for Devices with Cybersecurity Risks</x:v>
      </x:c>
      <x:c r="E53" s="22" t="str"/>
      <x:c r="F53" s="22" t="str"/>
      <x:c r="G53" s="21" t="str"/>
      <x:c r="H53" s="21" t="str"/>
      <x:c r="I53" s="21" t="str"/>
      <x:c r="J53" s="21" t="str"/>
      <x:c r="K53" s="21" t="str"/>
      <x:c r="L53" s="21" t="str">
        <x:v>待测试</x:v>
      </x:c>
      <x:c r="M53" s="24" t="str">
        <x:f>IF(L53&lt;&gt;"已完成","",G53+H53+I53+J53*2+IF(K53=0,1,0))</x:f>
      </x:c>
      <x:c r="N53" s="25" t="str"/>
      <x:c r="O53" s="22" t="str"/>
    </x:row>
    <x:row r="54" ht="54" customHeight="1">
      <x:c r="A54" s="18" t="str">
        <x:v>E052</x:v>
      </x:c>
      <x:c r="B54" s="16" t="str">
        <x:v>第524B(b)(1)条要求的上市后网络安全计划应如何处理协调漏洞披露？</x:v>
      </x:c>
      <x:c r="C54" s="18" t="str">
        <x:v>DOC010</x:v>
      </x:c>
      <x:c r="D54" s="16" t="str">
        <x:v>VII.C.1 Plans and Procedures</x:v>
      </x:c>
      <x:c r="E54" s="22" t="str"/>
      <x:c r="F54" s="22" t="str"/>
      <x:c r="G54" s="21" t="str"/>
      <x:c r="H54" s="21" t="str"/>
      <x:c r="I54" s="21" t="str"/>
      <x:c r="J54" s="21" t="str"/>
      <x:c r="K54" s="21" t="str"/>
      <x:c r="L54" s="21" t="str">
        <x:v>待测试</x:v>
      </x:c>
      <x:c r="M54" s="24" t="str">
        <x:f>IF(L54&lt;&gt;"已完成","",G54+H54+I54+J54*2+IF(K54=0,1,0))</x:f>
      </x:c>
      <x:c r="N54" s="25" t="str"/>
      <x:c r="O54" s="22" t="str"/>
    </x:row>
    <x:row r="55" ht="54" customHeight="1">
      <x:c r="A55" s="17" t="str">
        <x:v>E053</x:v>
      </x:c>
      <x:c r="B55" s="15" t="str">
        <x:v>对于已知不可接受漏洞和可能造成失控风险的关键漏洞，更新与补丁计划应说明什么？</x:v>
      </x:c>
      <x:c r="C55" s="17" t="str">
        <x:v>DOC010</x:v>
      </x:c>
      <x:c r="D55" s="15" t="str">
        <x:v>VII.C.2 Updates and Patches</x:v>
      </x:c>
      <x:c r="E55" s="22" t="str"/>
      <x:c r="F55" s="22" t="str"/>
      <x:c r="G55" s="21" t="str"/>
      <x:c r="H55" s="21" t="str"/>
      <x:c r="I55" s="21" t="str"/>
      <x:c r="J55" s="21" t="str"/>
      <x:c r="K55" s="21" t="str"/>
      <x:c r="L55" s="21" t="str">
        <x:v>待测试</x:v>
      </x:c>
      <x:c r="M55" s="24" t="str">
        <x:f>IF(L55&lt;&gt;"已完成","",G55+H55+I55+J55*2+IF(K55=0,1,0))</x:f>
      </x:c>
      <x:c r="N55" s="25" t="str"/>
      <x:c r="O55" s="22" t="str"/>
    </x:row>
    <x:row r="56" ht="54" customHeight="1">
      <x:c r="A56" s="18" t="str">
        <x:v>E054</x:v>
      </x:c>
      <x:c r="B56" s="16" t="str">
        <x:v>判断器械修改是否可能影响网络安全时应关注哪些方面？</x:v>
      </x:c>
      <x:c r="C56" s="18" t="str">
        <x:v>DOC010</x:v>
      </x:c>
      <x:c r="D56" s="16" t="str">
        <x:v>VII.D Modifications</x:v>
      </x:c>
      <x:c r="E56" s="22" t="str"/>
      <x:c r="F56" s="22" t="str"/>
      <x:c r="G56" s="21" t="str"/>
      <x:c r="H56" s="21" t="str"/>
      <x:c r="I56" s="21" t="str"/>
      <x:c r="J56" s="21" t="str"/>
      <x:c r="K56" s="21" t="str"/>
      <x:c r="L56" s="21" t="str">
        <x:v>待测试</x:v>
      </x:c>
      <x:c r="M56" s="24" t="str">
        <x:f>IF(L56&lt;&gt;"已完成","",G56+H56+I56+J56*2+IF(K56=0,1,0))</x:f>
      </x:c>
      <x:c r="N56" s="25" t="str"/>
      <x:c r="O56" s="22" t="str"/>
    </x:row>
    <x:row r="57" ht="54" customHeight="1">
      <x:c r="A57" s="17" t="str">
        <x:v>E055</x:v>
      </x:c>
      <x:c r="B57" s="15" t="str">
        <x:v>使用OTS软件时，申报资料首先应如何识别每个OTS组件？</x:v>
      </x:c>
      <x:c r="C57" s="17" t="str">
        <x:v>DOC011</x:v>
      </x:c>
      <x:c r="D57" s="15" t="str">
        <x:v>III.C.1 What is it?</x:v>
      </x:c>
      <x:c r="E57" s="22" t="str"/>
      <x:c r="F57" s="22" t="str"/>
      <x:c r="G57" s="21" t="str"/>
      <x:c r="H57" s="21" t="str"/>
      <x:c r="I57" s="21" t="str"/>
      <x:c r="J57" s="21" t="str"/>
      <x:c r="K57" s="21" t="str"/>
      <x:c r="L57" s="21" t="str">
        <x:v>待测试</x:v>
      </x:c>
      <x:c r="M57" s="24" t="str">
        <x:f>IF(L57&lt;&gt;"已完成","",G57+H57+I57+J57*2+IF(K57=0,1,0))</x:f>
      </x:c>
      <x:c r="N57" s="25" t="str"/>
      <x:c r="O57" s="22" t="str"/>
    </x:row>
    <x:row r="58" ht="54" customHeight="1">
      <x:c r="A58" s="18" t="str">
        <x:v>E056</x:v>
      </x:c>
      <x:c r="B58" s="16" t="str">
        <x:v>验证OTS软件时应明确哪些计算机系统规格？</x:v>
      </x:c>
      <x:c r="C58" s="18" t="str">
        <x:v>DOC011</x:v>
      </x:c>
      <x:c r="D58" s="16" t="str">
        <x:v>III.C.2 Computer System Specifications</x:v>
      </x:c>
      <x:c r="E58" s="22" t="str"/>
      <x:c r="F58" s="22" t="str"/>
      <x:c r="G58" s="21" t="str"/>
      <x:c r="H58" s="21" t="str"/>
      <x:c r="I58" s="21" t="str"/>
      <x:c r="J58" s="21" t="str"/>
      <x:c r="K58" s="21" t="str"/>
      <x:c r="L58" s="21" t="str">
        <x:v>待测试</x:v>
      </x:c>
      <x:c r="M58" s="24" t="str">
        <x:f>IF(L58&lt;&gt;"已完成","",G58+H58+I58+J58*2+IF(K58=0,1,0))</x:f>
      </x:c>
      <x:c r="N58" s="25" t="str"/>
      <x:c r="O58" s="22" t="str"/>
    </x:row>
    <x:row r="59" ht="54" customHeight="1">
      <x:c r="A59" s="17" t="str">
        <x:v>E057</x:v>
      </x:c>
      <x:c r="B59" s="15" t="str">
        <x:v>为保证最终用户正确使用OTS软件，应明确哪些安装、配置和培训控制？</x:v>
      </x:c>
      <x:c r="C59" s="17" t="str">
        <x:v>DOC011</x:v>
      </x:c>
      <x:c r="D59" s="15" t="str">
        <x:v>III.C.3 End User Actions</x:v>
      </x:c>
      <x:c r="E59" s="22" t="str"/>
      <x:c r="F59" s="22" t="str"/>
      <x:c r="G59" s="21" t="str"/>
      <x:c r="H59" s="21" t="str"/>
      <x:c r="I59" s="21" t="str"/>
      <x:c r="J59" s="21" t="str"/>
      <x:c r="K59" s="21" t="str"/>
      <x:c r="L59" s="21" t="str">
        <x:v>待测试</x:v>
      </x:c>
      <x:c r="M59" s="24" t="str">
        <x:f>IF(L59&lt;&gt;"已完成","",G59+H59+I59+J59*2+IF(K59=0,1,0))</x:f>
      </x:c>
      <x:c r="N59" s="25" t="str"/>
      <x:c r="O59" s="22" t="str"/>
    </x:row>
    <x:row r="60" ht="54" customHeight="1">
      <x:c r="A60" s="18" t="str">
        <x:v>E058</x:v>
      </x:c>
      <x:c r="B60" s="16" t="str">
        <x:v>申报资料应如何说明OTS软件在医疗器械中的功能和外部连接？</x:v>
      </x:c>
      <x:c r="C60" s="18" t="str">
        <x:v>DOC011</x:v>
      </x:c>
      <x:c r="D60" s="16" t="str">
        <x:v>III.C.4 What does the OTS Software do?</x:v>
      </x:c>
      <x:c r="E60" s="22" t="str"/>
      <x:c r="F60" s="22" t="str"/>
      <x:c r="G60" s="21" t="str"/>
      <x:c r="H60" s="21" t="str"/>
      <x:c r="I60" s="21" t="str"/>
      <x:c r="J60" s="21" t="str"/>
      <x:c r="K60" s="21" t="str"/>
      <x:c r="L60" s="21" t="str">
        <x:v>待测试</x:v>
      </x:c>
      <x:c r="M60" s="24" t="str">
        <x:f>IF(L60&lt;&gt;"已完成","",G60+H60+I60+J60*2+IF(K60=0,1,0))</x:f>
      </x:c>
      <x:c r="N60" s="25" t="str"/>
      <x:c r="O60" s="22" t="str"/>
    </x:row>
    <x:row r="61" ht="54" customHeight="1">
      <x:c r="A61" s="17" t="str">
        <x:v>E059</x:v>
      </x:c>
      <x:c r="B61" s="15" t="str">
        <x:v>如何证明OTS软件在医疗器械中能够正常工作？</x:v>
      </x:c>
      <x:c r="C61" s="17" t="str">
        <x:v>DOC011</x:v>
      </x:c>
      <x:c r="D61" s="15" t="str">
        <x:v>III.C.5 How do you know it works?</x:v>
      </x:c>
      <x:c r="E61" s="22" t="str"/>
      <x:c r="F61" s="22" t="str"/>
      <x:c r="G61" s="21" t="str"/>
      <x:c r="H61" s="21" t="str"/>
      <x:c r="I61" s="21" t="str"/>
      <x:c r="J61" s="21" t="str"/>
      <x:c r="K61" s="21" t="str"/>
      <x:c r="L61" s="21" t="str">
        <x:v>待测试</x:v>
      </x:c>
      <x:c r="M61" s="24" t="str">
        <x:f>IF(L61&lt;&gt;"已完成","",G61+H61+I61+J61*2+IF(K61=0,1,0))</x:f>
      </x:c>
      <x:c r="N61" s="25" t="str"/>
      <x:c r="O61" s="22" t="str"/>
    </x:row>
    <x:row r="62" ht="54" customHeight="1">
      <x:c r="A62" s="18" t="str">
        <x:v>E060</x:v>
      </x:c>
      <x:c r="B62" s="16" t="str">
        <x:v>OTS软件配置控制计划应解决哪些关键问题？</x:v>
      </x:c>
      <x:c r="C62" s="18" t="str">
        <x:v>DOC011</x:v>
      </x:c>
      <x:c r="D62" s="16" t="str">
        <x:v>III.C.6 Control of OTS Software</x:v>
      </x:c>
      <x:c r="E62" s="22" t="str"/>
      <x:c r="F62" s="22" t="str"/>
      <x:c r="G62" s="21" t="str"/>
      <x:c r="H62" s="21" t="str"/>
      <x:c r="I62" s="21" t="str"/>
      <x:c r="J62" s="21" t="str"/>
      <x:c r="K62" s="21" t="str"/>
      <x:c r="L62" s="21" t="str">
        <x:v>待测试</x:v>
      </x:c>
      <x:c r="M62" s="24" t="str">
        <x:f>IF(L62&lt;&gt;"已完成","",G62+H62+I62+J62*2+IF(K62=0,1,0))</x:f>
      </x:c>
      <x:c r="N62" s="25" t="str"/>
      <x:c r="O62" s="22" t="str"/>
    </x:row>
    <x:row r="63" ht="54" customHeight="1">
      <x:c r="A63" s="17" t="str">
        <x:v>E061</x:v>
      </x:c>
      <x:c r="B63" s="15" t="str">
        <x:v>如何向FDA证明OTS开发者采用的开发方法适合器械预期用途？</x:v>
      </x:c>
      <x:c r="C63" s="17" t="str">
        <x:v>DOC011</x:v>
      </x:c>
      <x:c r="D63" s="15" t="str">
        <x:v>III.D.1 Assurance of Development Methodologies</x:v>
      </x:c>
      <x:c r="E63" s="22" t="str"/>
      <x:c r="F63" s="22" t="str"/>
      <x:c r="G63" s="21" t="str"/>
      <x:c r="H63" s="21" t="str"/>
      <x:c r="I63" s="21" t="str"/>
      <x:c r="J63" s="21" t="str"/>
      <x:c r="K63" s="21" t="str"/>
      <x:c r="L63" s="21" t="str">
        <x:v>待测试</x:v>
      </x:c>
      <x:c r="M63" s="24" t="str">
        <x:f>IF(L63&lt;&gt;"已完成","",G63+H63+I63+J63*2+IF(K63=0,1,0))</x:f>
      </x:c>
      <x:c r="N63" s="25" t="str"/>
      <x:c r="O63" s="22" t="str"/>
    </x:row>
    <x:row r="64" ht="54" customHeight="1">
      <x:c r="A64" s="18" t="str">
        <x:v>E062</x:v>
      </x:c>
      <x:c r="B64" s="16" t="str">
        <x:v>当OTS开发者修改软件或终止支持时，器械制造商需要具备什么机制？</x:v>
      </x:c>
      <x:c r="C64" s="18" t="str">
        <x:v>DOC011</x:v>
      </x:c>
      <x:c r="D64" s="16" t="str">
        <x:v>III.D.2 Continued Maintenance and Support</x:v>
      </x:c>
      <x:c r="E64" s="22" t="str"/>
      <x:c r="F64" s="22" t="str"/>
      <x:c r="G64" s="21" t="str"/>
      <x:c r="H64" s="21" t="str"/>
      <x:c r="I64" s="21" t="str"/>
      <x:c r="J64" s="21" t="str"/>
      <x:c r="K64" s="21" t="str"/>
      <x:c r="L64" s="21" t="str">
        <x:v>待测试</x:v>
      </x:c>
      <x:c r="M64" s="24" t="str">
        <x:f>IF(L64&lt;&gt;"已完成","",G64+H64+I64+J64*2+IF(K64=0,1,0))</x:f>
      </x:c>
      <x:c r="N64" s="25" t="str"/>
      <x:c r="O64" s="22" t="str"/>
    </x:row>
    <x:row r="65" ht="54" customHeight="1">
      <x:c r="A65" s="17" t="str">
        <x:v>E063</x:v>
      </x:c>
      <x:c r="B65" s="15" t="str">
        <x:v>含OTS软件的医疗器械标签至少应提供哪些运行和安装信息？</x:v>
      </x:c>
      <x:c r="C65" s="17" t="str">
        <x:v>DOC011</x:v>
      </x:c>
      <x:c r="D65" s="15" t="str">
        <x:v>IV.E Product Labeling</x:v>
      </x:c>
      <x:c r="E65" s="22" t="str"/>
      <x:c r="F65" s="22" t="str"/>
      <x:c r="G65" s="21" t="str"/>
      <x:c r="H65" s="21" t="str"/>
      <x:c r="I65" s="21" t="str"/>
      <x:c r="J65" s="21" t="str"/>
      <x:c r="K65" s="21" t="str"/>
      <x:c r="L65" s="21" t="str">
        <x:v>待测试</x:v>
      </x:c>
      <x:c r="M65" s="24" t="str">
        <x:f>IF(L65&lt;&gt;"已完成","",G65+H65+I65+J65*2+IF(K65=0,1,0))</x:f>
      </x:c>
      <x:c r="N65" s="25" t="str"/>
      <x:c r="O65" s="22" t="str"/>
    </x:row>
    <x:row r="66" ht="54" customHeight="1">
      <x:c r="A66" s="18" t="str">
        <x:v>E064</x:v>
      </x:c>
      <x:c r="B66" s="16" t="str">
        <x:v>新增或修改OTS组件时，制造商应从哪些方面评价对已上市器械的影响？</x:v>
      </x:c>
      <x:c r="C66" s="18" t="str">
        <x:v>DOC011</x:v>
      </x:c>
      <x:c r="D66" s="16" t="str">
        <x:v>Appendix A Maintenance and Obsolescence</x:v>
      </x:c>
      <x:c r="E66" s="22" t="str"/>
      <x:c r="F66" s="22" t="str"/>
      <x:c r="G66" s="21" t="str"/>
      <x:c r="H66" s="21" t="str"/>
      <x:c r="I66" s="21" t="str"/>
      <x:c r="J66" s="21" t="str"/>
      <x:c r="K66" s="21" t="str"/>
      <x:c r="L66" s="21" t="str">
        <x:v>待测试</x:v>
      </x:c>
      <x:c r="M66" s="24" t="str">
        <x:f>IF(L66&lt;&gt;"已完成","",G66+H66+I66+J66*2+IF(K66=0,1,0))</x:f>
      </x:c>
      <x:c r="N66" s="25" t="str"/>
      <x:c r="O66" s="22" t="str"/>
    </x:row>
    <x:row r="67" ht="54" customHeight="1">
      <x:c r="A67" s="17" t="str">
        <x:v>E065</x:v>
      </x:c>
      <x:c r="B67" s="15" t="str">
        <x:v>YY/T 0664—2020适用于哪些医疗器械软件活动，哪些系统级活动不在其覆盖范围内？</x:v>
      </x:c>
      <x:c r="C67" s="17" t="str">
        <x:v>DOC012</x:v>
      </x:c>
      <x:c r="D67" s="15" t="str">
        <x:v>1.2 应用范围</x:v>
      </x:c>
      <x:c r="E67" s="22" t="str"/>
      <x:c r="F67" s="22" t="str"/>
      <x:c r="G67" s="21" t="str"/>
      <x:c r="H67" s="21" t="str"/>
      <x:c r="I67" s="21" t="str"/>
      <x:c r="J67" s="21" t="str"/>
      <x:c r="K67" s="21" t="str"/>
      <x:c r="L67" s="21" t="str">
        <x:v>待测试</x:v>
      </x:c>
      <x:c r="M67" s="24" t="str">
        <x:f>IF(L67&lt;&gt;"已完成","",G67+H67+I67+J67*2+IF(K67=0,1,0))</x:f>
      </x:c>
      <x:c r="N67" s="25" t="str"/>
      <x:c r="O67" s="22" t="str"/>
    </x:row>
    <x:row r="68" ht="54" customHeight="1">
      <x:c r="A68" s="18" t="str">
        <x:v>E066</x:v>
      </x:c>
      <x:c r="B68" s="16" t="str">
        <x:v>如何判定医疗器械软件符合YY/T 0664—2020？</x:v>
      </x:c>
      <x:c r="C68" s="18" t="str">
        <x:v>DOC012</x:v>
      </x:c>
      <x:c r="D68" s="16" t="str">
        <x:v>1.4 符合性</x:v>
      </x:c>
      <x:c r="E68" s="22" t="str"/>
      <x:c r="F68" s="22" t="str"/>
      <x:c r="G68" s="21" t="str"/>
      <x:c r="H68" s="21" t="str"/>
      <x:c r="I68" s="21" t="str"/>
      <x:c r="J68" s="21" t="str"/>
      <x:c r="K68" s="21" t="str"/>
      <x:c r="L68" s="21" t="str">
        <x:v>待测试</x:v>
      </x:c>
      <x:c r="M68" s="24" t="str">
        <x:f>IF(L68&lt;&gt;"已完成","",G68+H68+I68+J68*2+IF(K68=0,1,0))</x:f>
      </x:c>
      <x:c r="N68" s="25" t="str"/>
      <x:c r="O68" s="22" t="str"/>
    </x:row>
    <x:row r="69" ht="54" customHeight="1">
      <x:c r="A69" s="17" t="str">
        <x:v>E067</x:v>
      </x:c>
      <x:c r="B69" s="15" t="str">
        <x:v>YY/T 0664—2020如何定义回归测试，测试用例集的充分性取决于什么？</x:v>
      </x:c>
      <x:c r="C69" s="17" t="str">
        <x:v>DOC012</x:v>
      </x:c>
      <x:c r="D69" s="15" t="str">
        <x:v>3.14 回归测试</x:v>
      </x:c>
      <x:c r="E69" s="22" t="str"/>
      <x:c r="F69" s="22" t="str"/>
      <x:c r="G69" s="21" t="str"/>
      <x:c r="H69" s="21" t="str"/>
      <x:c r="I69" s="21" t="str"/>
      <x:c r="J69" s="21" t="str"/>
      <x:c r="K69" s="21" t="str"/>
      <x:c r="L69" s="21" t="str">
        <x:v>待测试</x:v>
      </x:c>
      <x:c r="M69" s="24" t="str">
        <x:f>IF(L69&lt;&gt;"已完成","",G69+H69+I69+J69*2+IF(K69=0,1,0))</x:f>
      </x:c>
      <x:c r="N69" s="25" t="str"/>
      <x:c r="O69" s="22" t="str"/>
    </x:row>
    <x:row r="70" ht="54" customHeight="1">
      <x:c r="A70" s="18" t="str">
        <x:v>E068</x:v>
      </x:c>
      <x:c r="B70" s="16" t="str">
        <x:v>YY/T 0664—2020中A、B、C三个软件安全级别分别如何判定？</x:v>
      </x:c>
      <x:c r="C70" s="18" t="str">
        <x:v>DOC012</x:v>
      </x:c>
      <x:c r="D70" s="16" t="str">
        <x:v>4.3 软件安全分级</x:v>
      </x:c>
      <x:c r="E70" s="22" t="str"/>
      <x:c r="F70" s="22" t="str"/>
      <x:c r="G70" s="21" t="str"/>
      <x:c r="H70" s="21" t="str"/>
      <x:c r="I70" s="21" t="str"/>
      <x:c r="J70" s="21" t="str"/>
      <x:c r="K70" s="21" t="str"/>
      <x:c r="L70" s="21" t="str">
        <x:v>待测试</x:v>
      </x:c>
      <x:c r="M70" s="24" t="str">
        <x:f>IF(L70&lt;&gt;"已完成","",G70+H70+I70+J70*2+IF(K70=0,1,0))</x:f>
      </x:c>
      <x:c r="N70" s="25" t="str"/>
      <x:c r="O70" s="22" t="str"/>
    </x:row>
    <x:row r="71" ht="54" customHeight="1">
      <x:c r="A71" s="17" t="str">
        <x:v>E069</x:v>
      </x:c>
      <x:c r="B71" s="15" t="str">
        <x:v>外部风险控制措施如何影响软件安全分级？</x:v>
      </x:c>
      <x:c r="C71" s="17" t="str">
        <x:v>DOC012</x:v>
      </x:c>
      <x:c r="D71" s="15" t="str">
        <x:v>4.3 软件安全分级</x:v>
      </x:c>
      <x:c r="E71" s="22" t="str"/>
      <x:c r="F71" s="22" t="str"/>
      <x:c r="G71" s="21" t="str"/>
      <x:c r="H71" s="21" t="str"/>
      <x:c r="I71" s="21" t="str"/>
      <x:c r="J71" s="21" t="str"/>
      <x:c r="K71" s="21" t="str"/>
      <x:c r="L71" s="21" t="str">
        <x:v>待测试</x:v>
      </x:c>
      <x:c r="M71" s="24" t="str">
        <x:f>IF(L71&lt;&gt;"已完成","",G71+H71+I71+J71*2+IF(K71=0,1,0))</x:f>
      </x:c>
      <x:c r="N71" s="25" t="str"/>
      <x:c r="O71" s="22" t="str"/>
    </x:row>
    <x:row r="72" ht="54" customHeight="1">
      <x:c r="A72" s="18" t="str">
        <x:v>E070</x:v>
      </x:c>
      <x:c r="B72" s="16" t="str">
        <x:v>软件系统分解为软件项后，安全级别如何继承和调整？</x:v>
      </x:c>
      <x:c r="C72" s="18" t="str">
        <x:v>DOC012</x:v>
      </x:c>
      <x:c r="D72" s="16" t="str">
        <x:v>4.3 软件安全分级</x:v>
      </x:c>
      <x:c r="E72" s="22" t="str"/>
      <x:c r="F72" s="22" t="str"/>
      <x:c r="G72" s="21" t="str"/>
      <x:c r="H72" s="21" t="str"/>
      <x:c r="I72" s="21" t="str"/>
      <x:c r="J72" s="21" t="str"/>
      <x:c r="K72" s="21" t="str"/>
      <x:c r="L72" s="21" t="str">
        <x:v>待测试</x:v>
      </x:c>
      <x:c r="M72" s="24" t="str">
        <x:f>IF(L72&lt;&gt;"已完成","",G72+H72+I72+J72*2+IF(K72=0,1,0))</x:f>
      </x:c>
      <x:c r="N72" s="25" t="str"/>
      <x:c r="O72" s="22" t="str"/>
    </x:row>
    <x:row r="73" ht="54" customHeight="1">
      <x:c r="A73" s="17" t="str">
        <x:v>E071</x:v>
      </x:c>
      <x:c r="B73" s="15" t="str">
        <x:v>YY/T 0664—2020所称遗留软件是什么？</x:v>
      </x:c>
      <x:c r="C73" s="17" t="str">
        <x:v>DOC012</x:v>
      </x:c>
      <x:c r="D73" s="15" t="str">
        <x:v>3.34 遗留软件</x:v>
      </x:c>
      <x:c r="E73" s="22" t="str"/>
      <x:c r="F73" s="22" t="str"/>
      <x:c r="G73" s="21" t="str"/>
      <x:c r="H73" s="21" t="str"/>
      <x:c r="I73" s="21" t="str"/>
      <x:c r="J73" s="21" t="str"/>
      <x:c r="K73" s="21" t="str"/>
      <x:c r="L73" s="21" t="str">
        <x:v>待测试</x:v>
      </x:c>
      <x:c r="M73" s="24" t="str">
        <x:f>IF(L73&lt;&gt;"已完成","",G73+H73+I73+J73*2+IF(K73=0,1,0))</x:f>
      </x:c>
      <x:c r="N73" s="25" t="str"/>
      <x:c r="O73" s="22" t="str"/>
    </x:row>
    <x:row r="74" ht="54" customHeight="1">
      <x:c r="A74" s="18" t="str">
        <x:v>E072</x:v>
      </x:c>
      <x:c r="B74" s="16" t="str">
        <x:v>继续使用遗留软件时应开展哪些风险管理活动？</x:v>
      </x:c>
      <x:c r="C74" s="18" t="str">
        <x:v>DOC012</x:v>
      </x:c>
      <x:c r="D74" s="16" t="str">
        <x:v>4.4.2 风险管理活动</x:v>
      </x:c>
      <x:c r="E74" s="22" t="str"/>
      <x:c r="F74" s="22" t="str"/>
      <x:c r="G74" s="21" t="str"/>
      <x:c r="H74" s="21" t="str"/>
      <x:c r="I74" s="21" t="str"/>
      <x:c r="J74" s="21" t="str"/>
      <x:c r="K74" s="21" t="str"/>
      <x:c r="L74" s="21" t="str">
        <x:v>待测试</x:v>
      </x:c>
      <x:c r="M74" s="24" t="str">
        <x:f>IF(L74&lt;&gt;"已完成","",G74+H74+I74+J74*2+IF(K74=0,1,0))</x:f>
      </x:c>
      <x:c r="N74" s="25" t="str"/>
      <x:c r="O74" s="22" t="str"/>
    </x:row>
    <x:row r="75" ht="54" customHeight="1">
      <x:c r="A75" s="17" t="str">
        <x:v>E073</x:v>
      </x:c>
      <x:c r="B75" s="15" t="str">
        <x:v>遗留软件差距分析和差距关闭至少应完成什么？</x:v>
      </x:c>
      <x:c r="C75" s="17" t="str">
        <x:v>DOC012</x:v>
      </x:c>
      <x:c r="D75" s="15" t="str">
        <x:v>4.4.3—4.4.5</x:v>
      </x:c>
      <x:c r="E75" s="22" t="str"/>
      <x:c r="F75" s="22" t="str"/>
      <x:c r="G75" s="21" t="str"/>
      <x:c r="H75" s="21" t="str"/>
      <x:c r="I75" s="21" t="str"/>
      <x:c r="J75" s="21" t="str"/>
      <x:c r="K75" s="21" t="str"/>
      <x:c r="L75" s="21" t="str">
        <x:v>待测试</x:v>
      </x:c>
      <x:c r="M75" s="24" t="str">
        <x:f>IF(L75&lt;&gt;"已完成","",G75+H75+I75+J75*2+IF(K75=0,1,0))</x:f>
      </x:c>
      <x:c r="N75" s="25" t="str"/>
      <x:c r="O75" s="22" t="str"/>
    </x:row>
    <x:row r="76" ht="54" customHeight="1">
      <x:c r="A76" s="18" t="str">
        <x:v>E074</x:v>
      </x:c>
      <x:c r="B76" s="16" t="str">
        <x:v>YY/T 0664—2020要求软件开发计划至少说明哪些内容？</x:v>
      </x:c>
      <x:c r="C76" s="18" t="str">
        <x:v>DOC012</x:v>
      </x:c>
      <x:c r="D76" s="16" t="str">
        <x:v>5.1.1 软件开发计划</x:v>
      </x:c>
      <x:c r="E76" s="22" t="str"/>
      <x:c r="F76" s="22" t="str"/>
      <x:c r="G76" s="21" t="str"/>
      <x:c r="H76" s="21" t="str"/>
      <x:c r="I76" s="21" t="str"/>
      <x:c r="J76" s="21" t="str"/>
      <x:c r="K76" s="21" t="str"/>
      <x:c r="L76" s="21" t="str">
        <x:v>待测试</x:v>
      </x:c>
      <x:c r="M76" s="24" t="str">
        <x:f>IF(L76&lt;&gt;"已完成","",G76+H76+I76+J76*2+IF(K76=0,1,0))</x:f>
      </x:c>
      <x:c r="N76" s="25" t="str"/>
      <x:c r="O76" s="22" t="str"/>
    </x:row>
    <x:row r="77" ht="54" customHeight="1">
      <x:c r="A77" s="17" t="str">
        <x:v>E075</x:v>
      </x:c>
      <x:c r="B77" s="15" t="str">
        <x:v>GB/T 42062—2022适用于哪些医疗器械和风险，不适用于哪些决策？</x:v>
      </x:c>
      <x:c r="C77" s="17" t="str">
        <x:v>DOC013</x:v>
      </x:c>
      <x:c r="D77" s="15" t="str">
        <x:v>1 范围</x:v>
      </x:c>
      <x:c r="E77" s="22" t="str"/>
      <x:c r="F77" s="22" t="str"/>
      <x:c r="G77" s="21" t="str"/>
      <x:c r="H77" s="21" t="str"/>
      <x:c r="I77" s="21" t="str"/>
      <x:c r="J77" s="21" t="str"/>
      <x:c r="K77" s="21" t="str"/>
      <x:c r="L77" s="21" t="str">
        <x:v>待测试</x:v>
      </x:c>
      <x:c r="M77" s="24" t="str">
        <x:f>IF(L77&lt;&gt;"已完成","",G77+H77+I77+J77*2+IF(K77=0,1,0))</x:f>
      </x:c>
      <x:c r="N77" s="25" t="str"/>
      <x:c r="O77" s="22" t="str"/>
    </x:row>
    <x:row r="78" ht="54" customHeight="1">
      <x:c r="A78" s="18" t="str">
        <x:v>E076</x:v>
      </x:c>
      <x:c r="B78" s="16" t="str">
        <x:v>GB/T 42062—2022要求风险管理持续过程实现哪些目的，并包含哪些基本要素？</x:v>
      </x:c>
      <x:c r="C78" s="18" t="str">
        <x:v>DOC013</x:v>
      </x:c>
      <x:c r="D78" s="16" t="str">
        <x:v>4.1 风险管理过程</x:v>
      </x:c>
      <x:c r="E78" s="22" t="str"/>
      <x:c r="F78" s="22" t="str"/>
      <x:c r="G78" s="21" t="str"/>
      <x:c r="H78" s="21" t="str"/>
      <x:c r="I78" s="21" t="str"/>
      <x:c r="J78" s="21" t="str"/>
      <x:c r="K78" s="21" t="str"/>
      <x:c r="L78" s="21" t="str">
        <x:v>待测试</x:v>
      </x:c>
      <x:c r="M78" s="24" t="str">
        <x:f>IF(L78&lt;&gt;"已完成","",G78+H78+I78+J78*2+IF(K78=0,1,0))</x:f>
      </x:c>
      <x:c r="N78" s="25" t="str"/>
      <x:c r="O78" s="22" t="str"/>
    </x:row>
    <x:row r="79" ht="54" customHeight="1">
      <x:c r="A79" s="17" t="str">
        <x:v>E077</x:v>
      </x:c>
      <x:c r="B79" s="15" t="str">
        <x:v>最高管理者对医疗器械风险管理过程承担哪些主要职责？</x:v>
      </x:c>
      <x:c r="C79" s="17" t="str">
        <x:v>DOC013</x:v>
      </x:c>
      <x:c r="D79" s="15" t="str">
        <x:v>4.2 管理职责</x:v>
      </x:c>
      <x:c r="E79" s="22" t="str"/>
      <x:c r="F79" s="22" t="str"/>
      <x:c r="G79" s="21" t="str"/>
      <x:c r="H79" s="21" t="str"/>
      <x:c r="I79" s="21" t="str"/>
      <x:c r="J79" s="21" t="str"/>
      <x:c r="K79" s="21" t="str"/>
      <x:c r="L79" s="21" t="str">
        <x:v>待测试</x:v>
      </x:c>
      <x:c r="M79" s="24" t="str">
        <x:f>IF(L79&lt;&gt;"已完成","",G79+H79+I79+J79*2+IF(K79=0,1,0))</x:f>
      </x:c>
      <x:c r="N79" s="25" t="str"/>
      <x:c r="O79" s="22" t="str"/>
    </x:row>
    <x:row r="80" ht="54" customHeight="1">
      <x:c r="A80" s="18" t="str">
        <x:v>E078</x:v>
      </x:c>
      <x:c r="B80" s="16" t="str">
        <x:v>风险管理计划至少应包括哪些内容？</x:v>
      </x:c>
      <x:c r="C80" s="18" t="str">
        <x:v>DOC013</x:v>
      </x:c>
      <x:c r="D80" s="16" t="str">
        <x:v>4.4 风险管理计划</x:v>
      </x:c>
      <x:c r="E80" s="22" t="str"/>
      <x:c r="F80" s="22" t="str"/>
      <x:c r="G80" s="21" t="str"/>
      <x:c r="H80" s="21" t="str"/>
      <x:c r="I80" s="21" t="str"/>
      <x:c r="J80" s="21" t="str"/>
      <x:c r="K80" s="21" t="str"/>
      <x:c r="L80" s="21" t="str">
        <x:v>待测试</x:v>
      </x:c>
      <x:c r="M80" s="24" t="str">
        <x:f>IF(L80&lt;&gt;"已完成","",G80+H80+I80+J80*2+IF(K80=0,1,0))</x:f>
      </x:c>
      <x:c r="N80" s="25" t="str"/>
      <x:c r="O80" s="22" t="str"/>
    </x:row>
    <x:row r="81" ht="54" customHeight="1">
      <x:c r="A81" s="17" t="str">
        <x:v>E079</x:v>
      </x:c>
      <x:c r="B81" s="15" t="str">
        <x:v>风险管理文档对每个已识别危险应建立哪些可追溯关系？</x:v>
      </x:c>
      <x:c r="C81" s="17" t="str">
        <x:v>DOC013</x:v>
      </x:c>
      <x:c r="D81" s="15" t="str">
        <x:v>4.5 风险管理文档</x:v>
      </x:c>
      <x:c r="E81" s="22" t="str"/>
      <x:c r="F81" s="22" t="str"/>
      <x:c r="G81" s="21" t="str"/>
      <x:c r="H81" s="21" t="str"/>
      <x:c r="I81" s="21" t="str"/>
      <x:c r="J81" s="21" t="str"/>
      <x:c r="K81" s="21" t="str"/>
      <x:c r="L81" s="21" t="str">
        <x:v>待测试</x:v>
      </x:c>
      <x:c r="M81" s="24" t="str">
        <x:f>IF(L81&lt;&gt;"已完成","",G81+H81+I81+J81*2+IF(K81=0,1,0))</x:f>
      </x:c>
      <x:c r="N81" s="25" t="str"/>
      <x:c r="O81" s="22" t="str"/>
    </x:row>
    <x:row r="82" ht="54" customHeight="1">
      <x:c r="A82" s="18" t="str">
        <x:v>E080</x:v>
      </x:c>
      <x:c r="B82" s="16" t="str">
        <x:v>风险分析中，预期用途和可合理预见的误使用应如何形成文件？</x:v>
      </x:c>
      <x:c r="C82" s="18" t="str">
        <x:v>DOC013</x:v>
      </x:c>
      <x:c r="D82" s="16" t="str">
        <x:v>5.2 预期用途和可合理预见的误使用</x:v>
      </x:c>
      <x:c r="E82" s="22" t="str"/>
      <x:c r="F82" s="22" t="str"/>
      <x:c r="G82" s="21" t="str"/>
      <x:c r="H82" s="21" t="str"/>
      <x:c r="I82" s="21" t="str"/>
      <x:c r="J82" s="21" t="str"/>
      <x:c r="K82" s="21" t="str"/>
      <x:c r="L82" s="21" t="str">
        <x:v>待测试</x:v>
      </x:c>
      <x:c r="M82" s="24" t="str">
        <x:f>IF(L82&lt;&gt;"已完成","",G82+H82+I82+J82*2+IF(K82=0,1,0))</x:f>
      </x:c>
      <x:c r="N82" s="25" t="str"/>
      <x:c r="O82" s="22" t="str"/>
    </x:row>
    <x:row r="83" ht="54" customHeight="1">
      <x:c r="A83" s="17" t="str">
        <x:v>E081</x:v>
      </x:c>
      <x:c r="B83" s="15" t="str">
        <x:v>风险分析应如何从安全相关特性推进到危险情况和风险估计？</x:v>
      </x:c>
      <x:c r="C83" s="17" t="str">
        <x:v>DOC013</x:v>
      </x:c>
      <x:c r="D83" s="15" t="str">
        <x:v>5.3—5.5</x:v>
      </x:c>
      <x:c r="E83" s="22" t="str"/>
      <x:c r="F83" s="22" t="str"/>
      <x:c r="G83" s="21" t="str"/>
      <x:c r="H83" s="21" t="str"/>
      <x:c r="I83" s="21" t="str"/>
      <x:c r="J83" s="21" t="str"/>
      <x:c r="K83" s="21" t="str"/>
      <x:c r="L83" s="21" t="str">
        <x:v>待测试</x:v>
      </x:c>
      <x:c r="M83" s="24" t="str">
        <x:f>IF(L83&lt;&gt;"已完成","",G83+H83+I83+J83*2+IF(K83=0,1,0))</x:f>
      </x:c>
      <x:c r="N83" s="25" t="str"/>
      <x:c r="O83" s="22" t="str"/>
    </x:row>
    <x:row r="84" ht="54" customHeight="1">
      <x:c r="A84" s="18" t="str">
        <x:v>E082</x:v>
      </x:c>
      <x:c r="B84" s="16" t="str">
        <x:v>对已估计风险进行风险评价后，可接受和不可接受风险分别如何处理？</x:v>
      </x:c>
      <x:c r="C84" s="18" t="str">
        <x:v>DOC013</x:v>
      </x:c>
      <x:c r="D84" s="16" t="str">
        <x:v>6 风险评价</x:v>
      </x:c>
      <x:c r="E84" s="22" t="str"/>
      <x:c r="F84" s="22" t="str"/>
      <x:c r="G84" s="21" t="str"/>
      <x:c r="H84" s="21" t="str"/>
      <x:c r="I84" s="21" t="str"/>
      <x:c r="J84" s="21" t="str"/>
      <x:c r="K84" s="21" t="str"/>
      <x:c r="L84" s="21" t="str">
        <x:v>待测试</x:v>
      </x:c>
      <x:c r="M84" s="24" t="str">
        <x:f>IF(L84&lt;&gt;"已完成","",G84+H84+I84+J84*2+IF(K84=0,1,0))</x:f>
      </x:c>
      <x:c r="N84" s="25" t="str"/>
      <x:c r="O84" s="22" t="str"/>
    </x:row>
    <x:row r="85" ht="54" customHeight="1">
      <x:c r="A85" s="17" t="str">
        <x:v>E083</x:v>
      </x:c>
      <x:c r="B85" s="15" t="str">
        <x:v>风险控制方案应按什么优先顺序选择，实施后需要进行哪两类验证？</x:v>
      </x:c>
      <x:c r="C85" s="17" t="str">
        <x:v>DOC013</x:v>
      </x:c>
      <x:c r="D85" s="15" t="str">
        <x:v>7.1—7.2</x:v>
      </x:c>
      <x:c r="E85" s="22" t="str"/>
      <x:c r="F85" s="22" t="str"/>
      <x:c r="G85" s="21" t="str"/>
      <x:c r="H85" s="21" t="str"/>
      <x:c r="I85" s="21" t="str"/>
      <x:c r="J85" s="21" t="str"/>
      <x:c r="K85" s="21" t="str"/>
      <x:c r="L85" s="21" t="str">
        <x:v>待测试</x:v>
      </x:c>
      <x:c r="M85" s="24" t="str">
        <x:f>IF(L85&lt;&gt;"已完成","",G85+H85+I85+J85*2+IF(K85=0,1,0))</x:f>
      </x:c>
      <x:c r="N85" s="25" t="str"/>
      <x:c r="O85" s="22" t="str"/>
    </x:row>
    <x:row r="86" ht="54" customHeight="1">
      <x:c r="A86" s="18" t="str">
        <x:v>E084</x:v>
      </x:c>
      <x:c r="B86" s="16" t="str">
        <x:v>单项剩余风险仍不可接受时如何处理，风险控制措施本身又需评价什么？</x:v>
      </x:c>
      <x:c r="C86" s="18" t="str">
        <x:v>DOC013</x:v>
      </x:c>
      <x:c r="D86" s="16" t="str">
        <x:v>7.3—7.5</x:v>
      </x:c>
      <x:c r="E86" s="22" t="str"/>
      <x:c r="F86" s="22" t="str"/>
      <x:c r="G86" s="21" t="str"/>
      <x:c r="H86" s="21" t="str"/>
      <x:c r="I86" s="21" t="str"/>
      <x:c r="J86" s="21" t="str"/>
      <x:c r="K86" s="21" t="str"/>
      <x:c r="L86" s="21" t="str">
        <x:v>待测试</x:v>
      </x:c>
      <x:c r="M86" s="24" t="str">
        <x:f>IF(L86&lt;&gt;"已完成","",G86+H86+I86+J86*2+IF(K86=0,1,0))</x:f>
      </x:c>
      <x:c r="N86" s="25" t="str"/>
      <x:c r="O86" s="22" t="str"/>
    </x:row>
    <x:row r="87" ht="54" customHeight="1">
      <x:c r="A87" s="17" t="str">
        <x:v>E085</x:v>
      </x:c>
      <x:c r="B87" s="15" t="str">
        <x:v>综合剩余风险评价应如何开展，结论为可接受后还需做什么？</x:v>
      </x:c>
      <x:c r="C87" s="17" t="str">
        <x:v>DOC013</x:v>
      </x:c>
      <x:c r="D87" s="15" t="str">
        <x:v>8 综合剩余风险评价</x:v>
      </x:c>
      <x:c r="E87" s="22" t="str"/>
      <x:c r="F87" s="22" t="str"/>
      <x:c r="G87" s="21" t="str"/>
      <x:c r="H87" s="21" t="str"/>
      <x:c r="I87" s="21" t="str"/>
      <x:c r="J87" s="21" t="str"/>
      <x:c r="K87" s="21" t="str"/>
      <x:c r="L87" s="21" t="str">
        <x:v>待测试</x:v>
      </x:c>
      <x:c r="M87" s="24" t="str">
        <x:f>IF(L87&lt;&gt;"已完成","",G87+H87+I87+J87*2+IF(K87=0,1,0))</x:f>
      </x:c>
      <x:c r="N87" s="25" t="str"/>
      <x:c r="O87" s="22" t="str"/>
    </x:row>
    <x:row r="88" ht="54" customHeight="1">
      <x:c r="A88" s="18" t="str">
        <x:v>E086</x:v>
      </x:c>
      <x:c r="B88" s="16" t="str">
        <x:v>器械商业发布前的风险管理评审和发布后的信息管理分别应完成什么？</x:v>
      </x:c>
      <x:c r="C88" s="18" t="str">
        <x:v>DOC013</x:v>
      </x:c>
      <x:c r="D88" s="16" t="str">
        <x:v>9 风险管理评审；10 生产和生产后活动</x:v>
      </x:c>
      <x:c r="E88" s="22" t="str"/>
      <x:c r="F88" s="22" t="str"/>
      <x:c r="G88" s="21" t="str"/>
      <x:c r="H88" s="21" t="str"/>
      <x:c r="I88" s="21" t="str"/>
      <x:c r="J88" s="21" t="str"/>
      <x:c r="K88" s="21" t="str"/>
      <x:c r="L88" s="21" t="str">
        <x:v>待测试</x:v>
      </x:c>
      <x:c r="M88" s="24" t="str">
        <x:f>IF(L88&lt;&gt;"已完成","",G88+H88+I88+J88*2+IF(K88=0,1,0))</x:f>
      </x:c>
      <x:c r="N88" s="25" t="str"/>
      <x:c r="O88" s="22" t="str"/>
    </x:row>
    <x:row r="89" ht="54" customHeight="1">
      <x:c r="A89" s="17" t="str">
        <x:v>E087</x:v>
      </x:c>
      <x:c r="B89" s="15" t="str">
        <x:v>医疗器械上市许可持有人在不良事件监测中承担哪些核心责任？</x:v>
      </x:c>
      <x:c r="C89" s="17" t="str">
        <x:v>DOC015</x:v>
      </x:c>
      <x:c r="D89" s="15" t="str">
        <x:v>第一章 总则 第三条</x:v>
      </x:c>
      <x:c r="E89" s="22" t="str"/>
      <x:c r="F89" s="22" t="str"/>
      <x:c r="G89" s="21" t="str"/>
      <x:c r="H89" s="21" t="str"/>
      <x:c r="I89" s="21" t="str"/>
      <x:c r="J89" s="21" t="str"/>
      <x:c r="K89" s="21" t="str"/>
      <x:c r="L89" s="21" t="str">
        <x:v>待测试</x:v>
      </x:c>
      <x:c r="M89" s="24" t="str">
        <x:f>IF(L89&lt;&gt;"已完成","",G89+H89+I89+J89*2+IF(K89=0,1,0))</x:f>
      </x:c>
      <x:c r="N89" s="25" t="str"/>
      <x:c r="O89" s="22" t="str"/>
    </x:row>
    <x:row r="90" ht="54" customHeight="1">
      <x:c r="A90" s="18" t="str">
        <x:v>E088</x:v>
      </x:c>
      <x:c r="B90" s="16" t="str">
        <x:v>医疗器械不良事件报告遵循什么原则，哪些事件必须报告？</x:v>
      </x:c>
      <x:c r="C90" s="18" t="str">
        <x:v>DOC015</x:v>
      </x:c>
      <x:c r="D90" s="16" t="str">
        <x:v>第三章 第一节 第十七—十八条</x:v>
      </x:c>
      <x:c r="E90" s="22" t="str"/>
      <x:c r="F90" s="22" t="str"/>
      <x:c r="G90" s="21" t="str"/>
      <x:c r="H90" s="21" t="str"/>
      <x:c r="I90" s="21" t="str"/>
      <x:c r="J90" s="21" t="str"/>
      <x:c r="K90" s="21" t="str"/>
      <x:c r="L90" s="21" t="str">
        <x:v>待测试</x:v>
      </x:c>
      <x:c r="M90" s="24" t="str">
        <x:f>IF(L90&lt;&gt;"已完成","",G90+H90+I90+J90*2+IF(K90=0,1,0))</x:f>
      </x:c>
      <x:c r="N90" s="25" t="str"/>
      <x:c r="O90" s="22" t="str"/>
    </x:row>
    <x:row r="91" ht="54" customHeight="1">
      <x:c r="A91" s="17" t="str">
        <x:v>E089</x:v>
      </x:c>
      <x:c r="B91" s="15" t="str">
        <x:v>持有人发现可疑个例医疗器械不良事件后，死亡和严重伤害相关事件的报告时限分别是多少？</x:v>
      </x:c>
      <x:c r="C91" s="17" t="str">
        <x:v>DOC015</x:v>
      </x:c>
      <x:c r="D91" s="15" t="str">
        <x:v>第三章 第二节 第二十五条</x:v>
      </x:c>
      <x:c r="E91" s="22" t="str"/>
      <x:c r="F91" s="22" t="str"/>
      <x:c r="G91" s="21" t="str"/>
      <x:c r="H91" s="21" t="str"/>
      <x:c r="I91" s="21" t="str"/>
      <x:c r="J91" s="21" t="str"/>
      <x:c r="K91" s="21" t="str"/>
      <x:c r="L91" s="21" t="str">
        <x:v>待测试</x:v>
      </x:c>
      <x:c r="M91" s="24" t="str">
        <x:f>IF(L91&lt;&gt;"已完成","",G91+H91+I91+J91*2+IF(K91=0,1,0))</x:f>
      </x:c>
      <x:c r="N91" s="25" t="str"/>
      <x:c r="O91" s="22" t="str"/>
    </x:row>
    <x:row r="92" ht="54" customHeight="1">
      <x:c r="A92" s="18" t="str">
        <x:v>E090</x:v>
      </x:c>
      <x:c r="B92" s="16" t="str">
        <x:v>发现群体医疗器械不良事件后，报告和初始处置有哪些时限与要求？</x:v>
      </x:c>
      <x:c r="C92" s="18" t="str">
        <x:v>DOC015</x:v>
      </x:c>
      <x:c r="D92" s="16" t="str">
        <x:v>第三章 第三节 第三十一—三十二条</x:v>
      </x:c>
      <x:c r="E92" s="22" t="str"/>
      <x:c r="F92" s="22" t="str"/>
      <x:c r="G92" s="21" t="str"/>
      <x:c r="H92" s="21" t="str"/>
      <x:c r="I92" s="21" t="str"/>
      <x:c r="J92" s="21" t="str"/>
      <x:c r="K92" s="21" t="str"/>
      <x:c r="L92" s="21" t="str">
        <x:v>待测试</x:v>
      </x:c>
      <x:c r="M92" s="24" t="str">
        <x:f>IF(L92&lt;&gt;"已完成","",G92+H92+I92+J92*2+IF(K92=0,1,0))</x:f>
      </x:c>
      <x:c r="N92" s="25" t="str"/>
      <x:c r="O92" s="22" t="str"/>
    </x:row>
    <x:row r="93" ht="54" customHeight="1">
      <x:c r="A93" s="17" t="str">
        <x:v>E091</x:v>
      </x:c>
      <x:c r="B93" s="15" t="str">
        <x:v>上市后定期风险评价报告应包含什么，通常在何时完成？</x:v>
      </x:c>
      <x:c r="C93" s="17" t="str">
        <x:v>DOC015</x:v>
      </x:c>
      <x:c r="D93" s="15" t="str">
        <x:v>第三章 第四节 第三十八—三十九条</x:v>
      </x:c>
      <x:c r="E93" s="22" t="str"/>
      <x:c r="F93" s="22" t="str"/>
      <x:c r="G93" s="21" t="str"/>
      <x:c r="H93" s="21" t="str"/>
      <x:c r="I93" s="21" t="str"/>
      <x:c r="J93" s="21" t="str"/>
      <x:c r="K93" s="21" t="str"/>
      <x:c r="L93" s="21" t="str">
        <x:v>待测试</x:v>
      </x:c>
      <x:c r="M93" s="24" t="str">
        <x:f>IF(L93&lt;&gt;"已完成","",G93+H93+I93+J93*2+IF(K93=0,1,0))</x:f>
      </x:c>
      <x:c r="N93" s="25" t="str"/>
      <x:c r="O93" s="22" t="str"/>
    </x:row>
    <x:row r="94" ht="54" customHeight="1">
      <x:c r="A94" s="18" t="str">
        <x:v>E092</x:v>
      </x:c>
      <x:c r="B94" s="16" t="str">
        <x:v>持有人发现器械存在可能危及人体健康和生命安全的不合理风险时，可以采取哪些措施？</x:v>
      </x:c>
      <x:c r="C94" s="18" t="str">
        <x:v>DOC015</x:v>
      </x:c>
      <x:c r="D94" s="16" t="str">
        <x:v>第五章 风险控制 第四十八条</x:v>
      </x:c>
      <x:c r="E94" s="22" t="str"/>
      <x:c r="F94" s="22" t="str"/>
      <x:c r="G94" s="21" t="str"/>
      <x:c r="H94" s="21" t="str"/>
      <x:c r="I94" s="21" t="str"/>
      <x:c r="J94" s="21" t="str"/>
      <x:c r="K94" s="21" t="str"/>
      <x:c r="L94" s="21" t="str">
        <x:v>待测试</x:v>
      </x:c>
      <x:c r="M94" s="24" t="str">
        <x:f>IF(L94&lt;&gt;"已完成","",G94+H94+I94+J94*2+IF(K94=0,1,0))</x:f>
      </x:c>
      <x:c r="N94" s="25" t="str"/>
      <x:c r="O94" s="22" t="str"/>
    </x:row>
    <x:row r="95" ht="54" customHeight="1">
      <x:c r="A95" s="17" t="str">
        <x:v>E093</x:v>
      </x:c>
      <x:c r="B95" s="15" t="str">
        <x:v>哪些情形需要持有人主动开展医疗器械再评价，再评价报告应包括什么？</x:v>
      </x:c>
      <x:c r="C95" s="17" t="str">
        <x:v>DOC015</x:v>
      </x:c>
      <x:c r="D95" s="15" t="str">
        <x:v>第六章 再评价 第五十五—五十七条</x:v>
      </x:c>
      <x:c r="E95" s="22" t="str"/>
      <x:c r="F95" s="22" t="str"/>
      <x:c r="G95" s="21" t="str"/>
      <x:c r="H95" s="21" t="str"/>
      <x:c r="I95" s="21" t="str"/>
      <x:c r="J95" s="21" t="str"/>
      <x:c r="K95" s="21" t="str"/>
      <x:c r="L95" s="21" t="str">
        <x:v>待测试</x:v>
      </x:c>
      <x:c r="M95" s="24" t="str">
        <x:f>IF(L95&lt;&gt;"已完成","",G95+H95+I95+J95*2+IF(K95=0,1,0))</x:f>
      </x:c>
      <x:c r="N95" s="25" t="str"/>
      <x:c r="O95" s="22" t="str"/>
    </x:row>
    <x:row r="96" ht="54" customHeight="1">
      <x:c r="A96" s="18" t="str">
        <x:v>E094</x:v>
      </x:c>
      <x:c r="B96" s="16" t="str">
        <x:v>什么是医疗器械召回，软件更新能否作为召回处理方式？</x:v>
      </x:c>
      <x:c r="C96" s="18" t="str">
        <x:v>DOC016</x:v>
      </x:c>
      <x:c r="D96" s="16" t="str">
        <x:v>第一章 总则 第三条</x:v>
      </x:c>
      <x:c r="E96" s="22" t="str"/>
      <x:c r="F96" s="22" t="str"/>
      <x:c r="G96" s="21" t="str"/>
      <x:c r="H96" s="21" t="str"/>
      <x:c r="I96" s="21" t="str"/>
      <x:c r="J96" s="21" t="str"/>
      <x:c r="K96" s="21" t="str"/>
      <x:c r="L96" s="21" t="str">
        <x:v>待测试</x:v>
      </x:c>
      <x:c r="M96" s="24" t="str">
        <x:f>IF(L96&lt;&gt;"已完成","",G96+H96+I96+J96*2+IF(K96=0,1,0))</x:f>
      </x:c>
      <x:c r="N96" s="25" t="str"/>
      <x:c r="O96" s="22" t="str"/>
    </x:row>
    <x:row r="97" ht="54" customHeight="1">
      <x:c r="A97" s="17" t="str">
        <x:v>E095</x:v>
      </x:c>
      <x:c r="B97" s="15" t="str">
        <x:v>评价缺陷医疗器械时应重点考虑哪些因素？</x:v>
      </x:c>
      <x:c r="C97" s="17" t="str">
        <x:v>DOC016</x:v>
      </x:c>
      <x:c r="D97" s="15" t="str">
        <x:v>第二章 第十二条</x:v>
      </x:c>
      <x:c r="E97" s="22" t="str"/>
      <x:c r="F97" s="22" t="str"/>
      <x:c r="G97" s="21" t="str"/>
      <x:c r="H97" s="21" t="str"/>
      <x:c r="I97" s="21" t="str"/>
      <x:c r="J97" s="21" t="str"/>
      <x:c r="K97" s="21" t="str"/>
      <x:c r="L97" s="21" t="str">
        <x:v>待测试</x:v>
      </x:c>
      <x:c r="M97" s="24" t="str">
        <x:f>IF(L97&lt;&gt;"已完成","",G97+H97+I97+J97*2+IF(K97=0,1,0))</x:f>
      </x:c>
      <x:c r="N97" s="25" t="str"/>
      <x:c r="O97" s="22" t="str"/>
    </x:row>
    <x:row r="98" ht="54" customHeight="1">
      <x:c r="A98" s="18" t="str">
        <x:v>E096</x:v>
      </x:c>
      <x:c r="B98" s="16" t="str">
        <x:v>医疗器械一级、二级和三级召回分别如何判定？</x:v>
      </x:c>
      <x:c r="C98" s="18" t="str">
        <x:v>DOC016</x:v>
      </x:c>
      <x:c r="D98" s="16" t="str">
        <x:v>第二章 第十三条</x:v>
      </x:c>
      <x:c r="E98" s="22" t="str"/>
      <x:c r="F98" s="22" t="str"/>
      <x:c r="G98" s="21" t="str"/>
      <x:c r="H98" s="21" t="str"/>
      <x:c r="I98" s="21" t="str"/>
      <x:c r="J98" s="21" t="str"/>
      <x:c r="K98" s="21" t="str"/>
      <x:c r="L98" s="21" t="str">
        <x:v>待测试</x:v>
      </x:c>
      <x:c r="M98" s="24" t="str">
        <x:f>IF(L98&lt;&gt;"已完成","",G98+H98+I98+J98*2+IF(K98=0,1,0))</x:f>
      </x:c>
      <x:c r="N98" s="25" t="str"/>
      <x:c r="O98" s="22" t="str"/>
    </x:row>
    <x:row r="99" ht="54" customHeight="1">
      <x:c r="A99" s="17" t="str">
        <x:v>E097</x:v>
      </x:c>
      <x:c r="B99" s="15" t="str">
        <x:v>主动召回时，不同召回级别的通知时限是什么，召回通知应包括哪些内容？</x:v>
      </x:c>
      <x:c r="C99" s="17" t="str">
        <x:v>DOC016</x:v>
      </x:c>
      <x:c r="D99" s="15" t="str">
        <x:v>第三章 第十四—十五条</x:v>
      </x:c>
      <x:c r="E99" s="22" t="str"/>
      <x:c r="F99" s="22" t="str"/>
      <x:c r="G99" s="21" t="str"/>
      <x:c r="H99" s="21" t="str"/>
      <x:c r="I99" s="21" t="str"/>
      <x:c r="J99" s="21" t="str"/>
      <x:c r="K99" s="21" t="str"/>
      <x:c r="L99" s="21" t="str">
        <x:v>待测试</x:v>
      </x:c>
      <x:c r="M99" s="24" t="str">
        <x:f>IF(L99&lt;&gt;"已完成","",G99+H99+I99+J99*2+IF(K99=0,1,0))</x:f>
      </x:c>
      <x:c r="N99" s="25" t="str"/>
      <x:c r="O99" s="22" t="str"/>
    </x:row>
    <x:row r="100" ht="54" customHeight="1">
      <x:c r="A100" s="18" t="str">
        <x:v>E098</x:v>
      </x:c>
      <x:c r="B100" s="16" t="str">
        <x:v>生产企业决定召回后应在何时提交哪些报告，调查评估报告和召回计划分别包括什么？</x:v>
      </x:c>
      <x:c r="C100" s="18" t="str">
        <x:v>DOC016</x:v>
      </x:c>
      <x:c r="D100" s="16" t="str">
        <x:v>第三章 第十六—十七条</x:v>
      </x:c>
      <x:c r="E100" s="22" t="str"/>
      <x:c r="F100" s="22" t="str"/>
      <x:c r="G100" s="21" t="str"/>
      <x:c r="H100" s="21" t="str"/>
      <x:c r="I100" s="21" t="str"/>
      <x:c r="J100" s="21" t="str"/>
      <x:c r="K100" s="21" t="str"/>
      <x:c r="L100" s="21" t="str">
        <x:v>待测试</x:v>
      </x:c>
      <x:c r="M100" s="24" t="str">
        <x:f>IF(L100&lt;&gt;"已完成","",G100+H100+I100+J100*2+IF(K100=0,1,0))</x:f>
      </x:c>
      <x:c r="N100" s="25" t="str"/>
      <x:c r="O100" s="22" t="str"/>
    </x:row>
    <x:row r="101" ht="54" customHeight="1">
      <x:c r="A101" s="17" t="str">
        <x:v>E099</x:v>
      </x:c>
      <x:c r="B101" s="15" t="str">
        <x:v>召回医疗器械的处理记录应如何保存，哪些缺陷处理可在产品所在地完成？</x:v>
      </x:c>
      <x:c r="C101" s="17" t="str">
        <x:v>DOC016</x:v>
      </x:c>
      <x:c r="D101" s="15" t="str">
        <x:v>第三章 第二十一条</x:v>
      </x:c>
      <x:c r="E101" s="22" t="str"/>
      <x:c r="F101" s="22" t="str"/>
      <x:c r="G101" s="21" t="str"/>
      <x:c r="H101" s="21" t="str"/>
      <x:c r="I101" s="21" t="str"/>
      <x:c r="J101" s="21" t="str"/>
      <x:c r="K101" s="21" t="str"/>
      <x:c r="L101" s="21" t="str">
        <x:v>待测试</x:v>
      </x:c>
      <x:c r="M101" s="24" t="str">
        <x:f>IF(L101&lt;&gt;"已完成","",G101+H101+I101+J101*2+IF(K101=0,1,0))</x:f>
      </x:c>
      <x:c r="N101" s="25" t="str"/>
      <x:c r="O101" s="22" t="str"/>
    </x:row>
    <x:row r="102" ht="54" customHeight="1">
      <x:c r="A102" s="18" t="str">
        <x:v>E100</x:v>
      </x:c>
      <x:c r="B102" s="16" t="str">
        <x:v>召回完成后如何评价效果，什么情况下需要重新召回？</x:v>
      </x:c>
      <x:c r="C102" s="18" t="str">
        <x:v>DOC016</x:v>
      </x:c>
      <x:c r="D102" s="16" t="str">
        <x:v>第三章 第二十二—二十三条；第四章 第二十七条</x:v>
      </x:c>
      <x:c r="E102" s="22" t="str"/>
      <x:c r="F102" s="22" t="str"/>
      <x:c r="G102" s="21" t="str"/>
      <x:c r="H102" s="21" t="str"/>
      <x:c r="I102" s="21" t="str"/>
      <x:c r="J102" s="21" t="str"/>
      <x:c r="K102" s="21" t="str"/>
      <x:c r="L102" s="21" t="str">
        <x:v>待测试</x:v>
      </x:c>
      <x:c r="M102" s="24" t="str">
        <x:f>IF(L102&lt;&gt;"已完成","",G102+H102+I102+J102*2+IF(K102=0,1,0))</x:f>
      </x:c>
      <x:c r="N102" s="25" t="str"/>
      <x:c r="O102" s="22" t="str"/>
    </x:row>
  </x:sheetData>
  <x:mergeCells>
    <x:mergeCell ref="A1:O1"/>
  </x:mergeCells>
  <x:dataValidations count="4">
    <x:dataValidation type="list" sqref="G3:I102">
      <x:formula1>"0,1"</x:formula1>
    </x:dataValidation>
    <x:dataValidation type="list" sqref="J3:J102">
      <x:formula1>"0,1,2"</x:formula1>
    </x:dataValidation>
    <x:dataValidation type="list" sqref="K3:K102">
      <x:formula1>"0,1"</x:formula1>
    </x:dataValidation>
    <x:dataValidation type="list" sqref="L3:L102">
      <x:formula1>"待测试,已完成,失败,需复核"</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4" hidden="0" customWidth="1"/>
    <x:col min="4" max="4" width="16" hidden="0" customWidth="1"/>
    <x:col min="5" max="5" width="12" hidden="0" customWidth="1"/>
    <x:col min="6" max="6" width="4" hidden="0" customWidth="1"/>
    <x:col min="7" max="7" width="14" hidden="0" customWidth="1"/>
    <x:col min="8" max="8" width="34" hidden="0" customWidth="1"/>
  </x:cols>
  <x:sheetData>
    <x:row r="1" ht="30" customHeight="1">
      <x:c r="A1" s="4" t="str">
        <x:v>官方扩充评测指标看板</x:v>
      </x:c>
      <x:c r="B1" s="4"/>
      <x:c r="C1" s="4"/>
      <x:c r="D1" s="4"/>
      <x:c r="E1" s="4"/>
      <x:c r="F1" s="4"/>
      <x:c r="G1" s="4"/>
      <x:c r="H1" s="4"/>
    </x:row>
    <x:row r="3" ht="25" customHeight="1">
      <x:c r="A3" s="10" t="str">
        <x:v>指标</x:v>
      </x:c>
      <x:c r="B3" s="10" t="str">
        <x:v>当前结果</x:v>
      </x:c>
      <x:c r="D3" s="10" t="str">
        <x:v>预期文档</x:v>
      </x:c>
      <x:c r="E3" s="10" t="str">
        <x:v>题数</x:v>
      </x:c>
      <x:c r="G3" s="10" t="str">
        <x:v>颜色</x:v>
      </x:c>
      <x:c r="H3" s="10" t="str">
        <x:v>含义</x:v>
      </x:c>
    </x:row>
    <x:row r="4" ht="25" customHeight="1">
      <x:c r="A4" s="16" t="str">
        <x:v>题目总数</x:v>
      </x:c>
      <x:c r="B4" s="30" t="n">
        <x:f>COUNTA('评测记录'!A3:A102)</x:f>
        <x:v>100</x:v>
      </x:c>
      <x:c r="C4" s="33"/>
      <x:c r="D4" s="18" t="str">
        <x:v>DOC006</x:v>
      </x:c>
      <x:c r="E4" s="18" t="n">
        <x:v>10</x:v>
      </x:c>
      <x:c r="G4" s="22" t="str">
        <x:v>浅黄色</x:v>
      </x:c>
      <x:c r="H4" s="14" t="str">
        <x:v>人工填写或可编辑字段</x:v>
      </x:c>
    </x:row>
    <x:row r="5" ht="25" customHeight="1">
      <x:c r="A5" s="15" t="str">
        <x:v>已完成题数</x:v>
      </x:c>
      <x:c r="B5" s="34" t="n">
        <x:f>COUNTIF('评测记录'!L3:L102,"已完成")</x:f>
        <x:v>0</x:v>
      </x:c>
      <x:c r="C5" s="35"/>
      <x:c r="D5" s="17" t="str">
        <x:v>DOC007</x:v>
      </x:c>
      <x:c r="E5" s="17" t="n">
        <x:v>8</x:v>
      </x:c>
      <x:c r="G5" s="26" t="str">
        <x:v>浅蓝色</x:v>
      </x:c>
      <x:c r="H5" s="14" t="str">
        <x:v>固定标签或参考字段</x:v>
      </x:c>
    </x:row>
    <x:row r="6" ht="25" customHeight="1">
      <x:c r="A6" s="16" t="str">
        <x:v>Top-1命中率</x:v>
      </x:c>
      <x:c r="B6" s="31" t="n">
        <x:f>IFERROR(SUM('评测记录'!G3:G102)/COUNT('评测记录'!G3:G102),0)</x:f>
        <x:v>0</x:v>
      </x:c>
      <x:c r="C6" s="33"/>
      <x:c r="D6" s="18" t="str">
        <x:v>DOC008</x:v>
      </x:c>
      <x:c r="E6" s="18" t="n">
        <x:v>8</x:v>
      </x:c>
      <x:c r="G6" s="23" t="str">
        <x:v>灰色</x:v>
      </x:c>
      <x:c r="H6" s="14" t="str">
        <x:v>公式计算字段</x:v>
      </x:c>
    </x:row>
    <x:row r="7" ht="25" customHeight="1">
      <x:c r="A7" s="15" t="str">
        <x:v>Top-3命中率</x:v>
      </x:c>
      <x:c r="B7" s="36" t="n">
        <x:f>IFERROR(SUM('评测记录'!H3:H102)/COUNT('评测记录'!H3:H102),0)</x:f>
        <x:v>0</x:v>
      </x:c>
      <x:c r="C7" s="35"/>
      <x:c r="D7" s="17" t="str">
        <x:v>DOC009</x:v>
      </x:c>
      <x:c r="E7" s="17" t="n">
        <x:v>12</x:v>
      </x:c>
      <x:c r="G7" s="38" t="str">
        <x:v>浅绿色</x:v>
      </x:c>
      <x:c r="H7" s="14" t="str">
        <x:v>启用/完成状态</x:v>
      </x:c>
    </x:row>
    <x:row r="8" ht="25" customHeight="1">
      <x:c r="A8" s="16" t="str">
        <x:v>引用正确率</x:v>
      </x:c>
      <x:c r="B8" s="31" t="n">
        <x:f>IFERROR(SUM('评测记录'!I3:I102)/COUNT('评测记录'!I3:I102),0)</x:f>
        <x:v>0</x:v>
      </x:c>
      <x:c r="C8" s="33"/>
      <x:c r="D8" s="18" t="str">
        <x:v>DOC010</x:v>
      </x:c>
      <x:c r="E8" s="18" t="n">
        <x:v>16</x:v>
      </x:c>
    </x:row>
    <x:row r="9" ht="25" customHeight="1">
      <x:c r="A9" s="15" t="str">
        <x:v>回答准确率</x:v>
      </x:c>
      <x:c r="B9" s="36" t="n">
        <x:f>IFERROR(SUM('评测记录'!J3:J102)/(COUNT('评测记录'!J3:J102)*2),0)</x:f>
        <x:v>0</x:v>
      </x:c>
      <x:c r="C9" s="35"/>
      <x:c r="D9" s="17" t="str">
        <x:v>DOC011</x:v>
      </x:c>
      <x:c r="E9" s="17" t="n">
        <x:v>10</x:v>
      </x:c>
    </x:row>
    <x:row r="10" ht="25" customHeight="1">
      <x:c r="A10" s="16" t="str">
        <x:v>幻觉率</x:v>
      </x:c>
      <x:c r="B10" s="31" t="n">
        <x:f>IFERROR(SUM('评测记录'!K3:K102)/COUNT('评测记录'!K3:K102),0)</x:f>
        <x:v>0</x:v>
      </x:c>
      <x:c r="C10" s="33"/>
      <x:c r="D10" s="18" t="str">
        <x:v>DOC012</x:v>
      </x:c>
      <x:c r="E10" s="18" t="n">
        <x:v>10</x:v>
      </x:c>
    </x:row>
    <x:row r="11" ht="25" customHeight="1">
      <x:c r="A11" s="15" t="str">
        <x:v>平均综合得分</x:v>
      </x:c>
      <x:c r="B11" s="37" t="n">
        <x:f>IFERROR(AVERAGE('评测记录'!M3:M102),0)</x:f>
        <x:v>0</x:v>
      </x:c>
      <x:c r="C11" s="35"/>
      <x:c r="D11" s="17" t="str">
        <x:v>DOC013</x:v>
      </x:c>
      <x:c r="E11" s="17" t="n">
        <x:v>12</x:v>
      </x:c>
    </x:row>
    <x:row r="12" ht="25" customHeight="1">
      <x:c r="A12" s="33"/>
      <x:c r="B12" s="33"/>
      <x:c r="C12" s="33"/>
      <x:c r="D12" s="18" t="str">
        <x:v>DOC015</x:v>
      </x:c>
      <x:c r="E12" s="18" t="n">
        <x:v>7</x:v>
      </x:c>
    </x:row>
    <x:row r="13" ht="25" customHeight="1">
      <x:c r="A13" s="35"/>
      <x:c r="B13" s="35"/>
      <x:c r="C13" s="35"/>
      <x:c r="D13" s="17" t="str">
        <x:v>DOC016</x:v>
      </x:c>
      <x:c r="E13" s="17" t="n">
        <x:v>7</x:v>
      </x:c>
    </x:row>
    <x:row r="14" ht="25" customHeight="1"/>
    <x:row r="15" ht="25" customHeight="1">
      <x:c r="A15" s="57" t="str">
        <x:v>评分上限为7分：Top1（1）+ Top3（1）+ 引用正确（1）+ 回答准确度×2（4）+ 无幻觉（1）。本工作簿仅用于官方扩充题集，不含DOC014和PRACTICE文档。</x:v>
      </x:c>
      <x:c r="B15" s="58"/>
      <x:c r="C15" s="58"/>
      <x:c r="D15" s="58"/>
      <x:c r="E15" s="58"/>
      <x:c r="F15" s="58"/>
      <x:c r="G15" s="58"/>
      <x:c r="H15" s="59"/>
    </x:row>
    <x:row r="16" ht="25" customHeight="1">
      <x:c r="A16" s="60"/>
      <x:c r="B16" s="61"/>
      <x:c r="C16" s="61"/>
      <x:c r="D16" s="61"/>
      <x:c r="E16" s="61"/>
      <x:c r="F16" s="61"/>
      <x:c r="G16" s="61"/>
      <x:c r="H16" s="62"/>
    </x:row>
    <x:row r="17" ht="25" customHeight="1">
      <x:c r="A17" s="63"/>
      <x:c r="B17" s="64"/>
      <x:c r="C17" s="64"/>
      <x:c r="D17" s="64"/>
      <x:c r="E17" s="64"/>
      <x:c r="F17" s="64"/>
      <x:c r="G17" s="64"/>
      <x:c r="H17" s="65"/>
    </x:row>
  </x:sheetData>
  <x:mergeCells>
    <x:mergeCell ref="A1:H1"/>
    <x:mergeCell ref="A15:H1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34" hidden="0" customWidth="1"/>
    <x:col min="3" max="3" width="58" hidden="0" customWidth="1"/>
    <x:col min="4" max="4" width="14" hidden="0" customWidth="1"/>
  </x:cols>
  <x:sheetData>
    <x:row r="1" ht="30" customHeight="1">
      <x:c r="A1" s="4" t="str">
        <x:v>官方扩充评测参数与版本记录</x:v>
      </x:c>
      <x:c r="B1" s="4"/>
      <x:c r="C1" s="4"/>
      <x:c r="D1" s="4"/>
    </x:row>
    <x:row r="2">
      <x:c r="A2" s="10" t="str">
        <x:v>参数</x:v>
      </x:c>
      <x:c r="B2" s="10" t="str">
        <x:v>当前值</x:v>
      </x:c>
      <x:c r="C2" s="10" t="str">
        <x:v>用途/说明</x:v>
      </x:c>
      <x:c r="D2" s="10" t="str">
        <x:v>记录状态</x:v>
      </x:c>
    </x:row>
    <x:row r="3" ht="34" customHeight="1">
      <x:c r="A3" s="26" t="str">
        <x:v>题集版本</x:v>
      </x:c>
      <x:c r="B3" s="22" t="str">
        <x:v>official-expansion-v1</x:v>
      </x:c>
      <x:c r="C3" s="15" t="str">
        <x:v>100道新增官方文档评测题</x:v>
      </x:c>
      <x:c r="D3" s="17" t="str">
        <x:v>固定</x:v>
      </x:c>
    </x:row>
    <x:row r="4" ht="34" customHeight="1">
      <x:c r="A4" s="26" t="str">
        <x:v>题目编号</x:v>
      </x:c>
      <x:c r="B4" s="22" t="str">
        <x:v>E001—E100</x:v>
      </x:c>
      <x:c r="C4" s="16" t="str">
        <x:v>与原Q001—Q050及留出H题集区分</x:v>
      </x:c>
      <x:c r="D4" s="18" t="str">
        <x:v>固定</x:v>
      </x:c>
    </x:row>
    <x:row r="5" ht="34" customHeight="1">
      <x:c r="A5" s="26" t="str">
        <x:v>评测工作表</x:v>
      </x:c>
      <x:c r="B5" s="22" t="str">
        <x:v>评测题集</x:v>
      </x:c>
      <x:c r="C5" s="15" t="str">
        <x:v>兼容run_batch_eval.py的表名和列名</x:v>
      </x:c>
      <x:c r="D5" s="17" t="str">
        <x:v>固定</x:v>
      </x:c>
    </x:row>
    <x:row r="6" ht="34" customHeight="1">
      <x:c r="A6" s="26" t="str">
        <x:v>知识库</x:v>
      </x:c>
      <x:c r="B6" s="22" t="str">
        <x:v>医疗器械控制软件测试知识库</x:v>
      </x:c>
      <x:c r="C6" s="16" t="str">
        <x:v>RAGFlow知识库</x:v>
      </x:c>
      <x:c r="D6" s="18" t="str">
        <x:v>当前</x:v>
      </x:c>
    </x:row>
    <x:row r="7" ht="34" customHeight="1">
      <x:c r="A7" s="26" t="str">
        <x:v>LLM</x:v>
      </x:c>
      <x:c r="B7" s="22" t="str">
        <x:v>deepseek-v4-flash</x:v>
      </x:c>
      <x:c r="C7" s="15" t="str">
        <x:v>回答生成模型</x:v>
      </x:c>
      <x:c r="D7" s="17" t="str">
        <x:v>当前</x:v>
      </x:c>
    </x:row>
    <x:row r="8" ht="34" customHeight="1">
      <x:c r="A8" s="26" t="str">
        <x:v>Embedding</x:v>
      </x:c>
      <x:c r="B8" s="22" t="str">
        <x:v>text-embedding-v4</x:v>
      </x:c>
      <x:c r="C8" s="16" t="str">
        <x:v>向量化模型</x:v>
      </x:c>
      <x:c r="D8" s="18" t="str">
        <x:v>当前</x:v>
      </x:c>
    </x:row>
    <x:row r="9" ht="34" customHeight="1">
      <x:c r="A9" s="26" t="str">
        <x:v>Rerank</x:v>
      </x:c>
      <x:c r="B9" s="22" t="str">
        <x:v>gte-rerank-v2</x:v>
      </x:c>
      <x:c r="C9" s="15" t="str">
        <x:v>候选切片重排序</x:v>
      </x:c>
      <x:c r="D9" s="17" t="str">
        <x:v>当前</x:v>
      </x:c>
    </x:row>
    <x:row r="10" ht="34" customHeight="1">
      <x:c r="A10" s="26" t="str">
        <x:v>相似度阈值</x:v>
      </x:c>
      <x:c r="B10" s="68" t="n">
        <x:v>0.2</x:v>
      </x:c>
      <x:c r="C10" s="16" t="str">
        <x:v>过滤低相似度切片</x:v>
      </x:c>
      <x:c r="D10" s="18" t="str">
        <x:v>当前</x:v>
      </x:c>
    </x:row>
    <x:row r="11" ht="34" customHeight="1">
      <x:c r="A11" s="26" t="str">
        <x:v>向量相似度权重</x:v>
      </x:c>
      <x:c r="B11" s="68" t="n">
        <x:v>0.5</x:v>
      </x:c>
      <x:c r="C11" s="15" t="str">
        <x:v>混合检索向量权重</x:v>
      </x:c>
      <x:c r="D11" s="17" t="str">
        <x:v>当前</x:v>
      </x:c>
    </x:row>
    <x:row r="12" ht="34" customHeight="1">
      <x:c r="A12" s="26" t="str">
        <x:v>全文检索权重</x:v>
      </x:c>
      <x:c r="B12" s="68" t="n">
        <x:v>0.5</x:v>
      </x:c>
      <x:c r="C12" s="16" t="str">
        <x:v>混合检索全文权重</x:v>
      </x:c>
      <x:c r="D12" s="18" t="str">
        <x:v>当前</x:v>
      </x:c>
    </x:row>
    <x:row r="13" ht="34" customHeight="1">
      <x:c r="A13" s="26" t="str">
        <x:v>Top N</x:v>
      </x:c>
      <x:c r="B13" s="22" t="n">
        <x:v>8</x:v>
      </x:c>
      <x:c r="C13" s="15" t="str">
        <x:v>送入回答模型的切片数量</x:v>
      </x:c>
      <x:c r="D13" s="17" t="str">
        <x:v>当前</x:v>
      </x:c>
    </x:row>
    <x:row r="14" ht="34" customHeight="1">
      <x:c r="A14" s="26" t="str">
        <x:v>排除文档</x:v>
      </x:c>
      <x:c r="B14" s="22" t="str">
        <x:v>DOC014；PRACTICE001—008</x:v>
      </x:c>
      <x:c r="C14" s="16" t="str">
        <x:v>DOC014已删除；实践文档另行测试</x:v>
      </x:c>
      <x:c r="D14" s="18" t="str">
        <x:v>固定</x:v>
      </x:c>
    </x:row>
    <x:row r="15" ht="34" customHeight="1">
      <x:c r="A15" s="26" t="str">
        <x:v>题集冻结规则</x:v>
      </x:c>
      <x:c r="B15" s="22" t="str">
        <x:v>首次完整运行后冻结</x:v>
      </x:c>
      <x:c r="C15" s="15" t="str">
        <x:v>避免根据结果反向修改题目造成数据泄漏</x:v>
      </x:c>
      <x:c r="D15" s="17" t="str">
        <x:v>建议</x:v>
      </x:c>
    </x:row>
  </x:sheetData>
  <x:mergeCells>
    <x:mergeCell ref="A1:D1"/>
  </x:mergeCells>
  <x:pageMargins left="0.7" right="0.7" top="0.75" bottom="0.75" header="0.3" footer="0.3"/>
</x:worksheet>
</file>