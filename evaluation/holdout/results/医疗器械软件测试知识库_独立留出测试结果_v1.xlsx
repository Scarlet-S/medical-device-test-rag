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istrator\Documents\Codex\2026-07-24\new-chat-5\outputs\holdout\"/>
    </mc:Choice>
  </mc:AlternateContent>
  <xr:revisionPtr revIDLastSave="0" documentId="13_ncr:1_{5736F593-4EBD-43BE-B80C-88028F274411}" xr6:coauthVersionLast="47" xr6:coauthVersionMax="47" xr10:uidLastSave="{00000000-0000-0000-0000-000000000000}"/>
  <bookViews>
    <workbookView xWindow="-110" yWindow="-110" windowWidth="25820" windowHeight="15500" xr2:uid="{00000000-000D-0000-FFFF-FFFF00000000}"/>
  </bookViews>
  <sheets>
    <sheet name="文档目录" sheetId="1" r:id="rId1"/>
    <sheet name="使用说明" sheetId="2" r:id="rId2"/>
    <sheet name="评测题集" sheetId="3" r:id="rId3"/>
    <sheet name="评测记录" sheetId="4" r:id="rId4"/>
    <sheet name="指标看板" sheetId="5" r:id="rId5"/>
    <sheet name="参数记录" sheetId="6" r:id="rId6"/>
  </sheets>
  <definedNames>
    <definedName name="_xlnm._FilterDatabase" localSheetId="5" hidden="1">参数记录!$A$2:$D$18</definedName>
    <definedName name="_xlnm._FilterDatabase" localSheetId="3" hidden="1">评测记录!$A$2:$O$32</definedName>
    <definedName name="_xlnm._FilterDatabase" localSheetId="2" hidden="1">评测题集!$A$2:$J$32</definedName>
    <definedName name="_xlnm._FilterDatabase" localSheetId="0" hidden="1">文档目录!$A$2:$J$7</definedName>
  </definedNames>
  <calcPr calcId="191029" forceFullCalc="1"/>
</workbook>
</file>

<file path=xl/calcChain.xml><?xml version="1.0" encoding="utf-8"?>
<calcChain xmlns="http://schemas.openxmlformats.org/spreadsheetml/2006/main">
  <c r="C21" i="5" l="1"/>
  <c r="E21" i="5" s="1"/>
  <c r="B21" i="5"/>
  <c r="C20" i="5"/>
  <c r="D20" i="5" s="1"/>
  <c r="B20" i="5"/>
  <c r="C19" i="5"/>
  <c r="E19" i="5" s="1"/>
  <c r="B19" i="5"/>
  <c r="C18" i="5"/>
  <c r="E18" i="5" s="1"/>
  <c r="B18" i="5"/>
  <c r="C17" i="5"/>
  <c r="E17" i="5" s="1"/>
  <c r="B17" i="5"/>
  <c r="E6" i="5"/>
  <c r="E12" i="5" s="1"/>
  <c r="B6" i="5"/>
  <c r="M32" i="4"/>
  <c r="M31" i="4"/>
  <c r="M30" i="4"/>
  <c r="M29" i="4"/>
  <c r="M28" i="4"/>
  <c r="M27" i="4"/>
  <c r="F21" i="5" s="1"/>
  <c r="M26" i="4"/>
  <c r="M25" i="4"/>
  <c r="M24" i="4"/>
  <c r="M23" i="4"/>
  <c r="M22" i="4"/>
  <c r="M21" i="4"/>
  <c r="F20" i="5" s="1"/>
  <c r="M20" i="4"/>
  <c r="M19" i="4"/>
  <c r="M18" i="4"/>
  <c r="M17" i="4"/>
  <c r="M16" i="4"/>
  <c r="M15" i="4"/>
  <c r="F19" i="5" s="1"/>
  <c r="M14" i="4"/>
  <c r="M13" i="4"/>
  <c r="M12" i="4"/>
  <c r="M11" i="4"/>
  <c r="M10" i="4"/>
  <c r="M9" i="4"/>
  <c r="M8" i="4"/>
  <c r="M7" i="4"/>
  <c r="M6" i="4"/>
  <c r="M5" i="4"/>
  <c r="M4" i="4"/>
  <c r="M3" i="4"/>
  <c r="F17" i="5" s="1"/>
  <c r="H12" i="5" l="1"/>
  <c r="F18" i="5"/>
  <c r="D17" i="5"/>
  <c r="D18" i="5"/>
  <c r="D19" i="5"/>
  <c r="B9" i="5"/>
  <c r="E20" i="5"/>
  <c r="H6" i="5"/>
  <c r="E9" i="5"/>
  <c r="H9" i="5"/>
  <c r="B12" i="5"/>
  <c r="D2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Scarlet-S</author>
  </authors>
  <commentList>
    <comment ref="M3" authorId="0" shapeId="0" xr:uid="{00000000-0006-0000-0300-000001000000}">
      <text>
        <r>
          <rPr>
            <sz val="11"/>
            <color theme="1"/>
            <rFont val="宋体"/>
            <family val="2"/>
            <scheme val="minor"/>
          </rPr>
          <t>综合得分=检索命中（Top1为2分，否则Top3为1分）+引用正确1分+回答准确度×2-幻觉×2；满分7分。</t>
        </r>
      </text>
    </comment>
  </commentList>
</comments>
</file>

<file path=xl/sharedStrings.xml><?xml version="1.0" encoding="utf-8"?>
<sst xmlns="http://schemas.openxmlformats.org/spreadsheetml/2006/main" count="738" uniqueCount="379">
  <si>
    <t>独立留出测试集文档目录</t>
  </si>
  <si>
    <t>文档ID</t>
  </si>
  <si>
    <t>标题</t>
  </si>
  <si>
    <t>分类</t>
  </si>
  <si>
    <t>发布机构</t>
  </si>
  <si>
    <t>发布日期</t>
  </si>
  <si>
    <t>文件类型</t>
  </si>
  <si>
    <t>来源URL</t>
  </si>
  <si>
    <t>本地文件名</t>
  </si>
  <si>
    <t>状态</t>
  </si>
  <si>
    <t>处理说明</t>
  </si>
  <si>
    <t>DOC001</t>
  </si>
  <si>
    <t>医疗器械软件注册审查指导原则（2022年修订版）</t>
  </si>
  <si>
    <t>software_lifecycle</t>
  </si>
  <si>
    <t>国家药品监督管理局医疗器械技术审评中心</t>
  </si>
  <si>
    <t>2022-03-10</t>
  </si>
  <si>
    <t>PDF</t>
  </si>
  <si>
    <t>https://www.cncsdr.org/ggtz/ggzz/202203/t20220311_304189.html</t>
  </si>
  <si>
    <t>DOC001_CMDE_software_guidance_2022.pdf</t>
  </si>
  <si>
    <t>Validated</t>
  </si>
  <si>
    <t>原始PDF参与检索；已完成表格修复、人工检查与检索验证</t>
  </si>
  <si>
    <t>DOC002</t>
  </si>
  <si>
    <t>医疗器械网络安全注册审查指导原则（2022年修订版）</t>
  </si>
  <si>
    <t>access_control_and_security</t>
  </si>
  <si>
    <t>https://www.cncsdr.org/ggtz/ggzz/202203/t20220311_304187.html</t>
  </si>
  <si>
    <t>DOC002_CMDE_cybersecurity_guidance_2022.pdf</t>
  </si>
  <si>
    <t>原始PDF参与检索；已完成人工检查与检索验证</t>
  </si>
  <si>
    <t>DOC003</t>
  </si>
  <si>
    <t>医疗器械生产质量管理规范附录 独立软件</t>
  </si>
  <si>
    <t>国家药品监督管理局</t>
  </si>
  <si>
    <t>2019-07-12</t>
  </si>
  <si>
    <t>https://www.nmpa.gov.cn/xxgk/ggtg/ylqxggtg/ylqxqtggtg/20190712113301132.html</t>
  </si>
  <si>
    <t>DOC003_NMPA_independent_software_GMP_2019.pdf</t>
  </si>
  <si>
    <t>DOC004</t>
  </si>
  <si>
    <t>医疗器械生产质量管理规范独立软件现场检查指导原则</t>
  </si>
  <si>
    <t>software_testing</t>
  </si>
  <si>
    <t>国家药品监督管理局综合司</t>
  </si>
  <si>
    <t>2020-06-04</t>
  </si>
  <si>
    <t>PDF+Markdown</t>
  </si>
  <si>
    <t>https://www.nmpa.gov.cn/xxgk/fgwj/gzwj/gzwjylqx/20200604162801601.html</t>
  </si>
  <si>
    <t>DOC004_NMPA_software_inspection_guideline_2020.pdf</t>
  </si>
  <si>
    <t>原始PDF留档；RAGFlow标题切片版Markdown参与检索</t>
  </si>
  <si>
    <t>DOC005</t>
  </si>
  <si>
    <t>医疗器械注册质量管理体系核查指南</t>
  </si>
  <si>
    <t>requirements_and_traceability</t>
  </si>
  <si>
    <t>2022-10-10</t>
  </si>
  <si>
    <t>https://www.nmpa.gov.cn/ylqx/ylqxggtg/20221010110514148.html</t>
  </si>
  <si>
    <t>DOC005_NMPA_registration_QMS_inspection_2022.pdf</t>
  </si>
  <si>
    <t>正文参与检索；附表重复分块已关闭</t>
  </si>
  <si>
    <t>独立留出测试集使用说明</t>
  </si>
  <si>
    <t>测试目的</t>
  </si>
  <si>
    <t>使用30道未参与检索参数、切片和提示词优化的新题，评估系统在陌生问法与新条款上的泛化能力。</t>
  </si>
  <si>
    <t>冻结配置</t>
  </si>
  <si>
    <t>相似度阈值0.20；向量权重0.50；全文权重0.50；Top N=8；Rerank=qwen3-rerank。</t>
  </si>
  <si>
    <t>防止泄漏</t>
  </si>
  <si>
    <t>首次测试结束并归档结果前，不得根据H001-H030修改切片、添加相关问题、调整检索参数或修改回答提示词。</t>
  </si>
  <si>
    <t>首次运行</t>
  </si>
  <si>
    <t>先运行3题冒烟测试，再一次性运行全部30题。每题使用独立会话，保存完整回答、引用顺序和相似度。</t>
  </si>
  <si>
    <t>评分流程</t>
  </si>
  <si>
    <t>先计算严格Top-1/Top-3，再运行LLM裁判；最后仅人工复核低分题、无引用题和裁判争议题。</t>
  </si>
  <si>
    <t>结果解释</t>
  </si>
  <si>
    <t>本工作簿是独立留出集。若测试后据此优化系统，应把本批题转为回归集，并另建新的留出集验证后续版本。</t>
  </si>
  <si>
    <t>执行顺序</t>
  </si>
  <si>
    <t>1. 确认RAGFlow最终配置与“参数记录”一致。</t>
  </si>
  <si>
    <t>2. 锁定H001-H030，不提前在聊天页面试问。</t>
  </si>
  <si>
    <t>3. 运行3题冒烟测试，确认API、引用解析和输出路径正常。</t>
  </si>
  <si>
    <t>4. 一次性运行30题并保存JSON/CSV。</t>
  </si>
  <si>
    <t>5. 运行自动裁判，人工复核异常题后填写“评测记录”。</t>
  </si>
  <si>
    <t>6. 将原始结果永久归档，之后才允许针对失败题优化。</t>
  </si>
  <si>
    <t>医疗器械软件测试知识库独立留出测试题集（v1）</t>
  </si>
  <si>
    <t>问题ID</t>
  </si>
  <si>
    <t>预期文档</t>
  </si>
  <si>
    <t>主题</t>
  </si>
  <si>
    <t>难度</t>
  </si>
  <si>
    <t>问题类型</t>
  </si>
  <si>
    <t>评测问题</t>
  </si>
  <si>
    <t>预期定位</t>
  </si>
  <si>
    <t>标准答案要点</t>
  </si>
  <si>
    <t>备注</t>
  </si>
  <si>
    <t>H001</t>
  </si>
  <si>
    <t>软件版本</t>
  </si>
  <si>
    <t>综合</t>
  </si>
  <si>
    <t>比较问答</t>
  </si>
  <si>
    <t>软件发布版本与软件完整版本分别反映哪些更新类型，它们发生变化时注册处理有何不同？</t>
  </si>
  <si>
    <t>二、主要概念（七）软件版本</t>
  </si>
  <si>
    <t>软件发布版本仅体现重大增强类更新，改变表示发生重大更新，应申请变更注册；软件完整版本体现重大、轻微增强、纠正类更新及软件构建。完整版本改变但发布版本未变表示仅发生轻微更新，由质量管理体系控制，无需申请变更注册。</t>
  </si>
  <si>
    <t>已完成</t>
  </si>
  <si>
    <t>独立留出首次测试已归档；禁止将本题结果反向计入本次测试。</t>
  </si>
  <si>
    <t>H002</t>
  </si>
  <si>
    <t>算法功能用途</t>
  </si>
  <si>
    <t>中等</t>
  </si>
  <si>
    <t>关系问答</t>
  </si>
  <si>
    <t>软件算法、软件功能和软件用途之间是什么关系，为什么以软件功能作为安全有效性评价主线？</t>
  </si>
  <si>
    <t>二、主要概念（八）软件算法、软件功能、软件用途</t>
  </si>
  <si>
    <t>算法与功能、功能与用途均为多对多关系；算法对用户内在不可见，功能和用途外在可见。软件功能连接算法与用途，因此以软件功能作为安全有效性评价主线。</t>
  </si>
  <si>
    <t>H003</t>
  </si>
  <si>
    <t>注册单元</t>
  </si>
  <si>
    <t>规则问答</t>
  </si>
  <si>
    <t>独立软件注册单元应依据哪些原则划分，管理类别不同但技术上无法拆分时如何申报？</t>
  </si>
  <si>
    <t>七、技术考量（一）注册单元与检测单元｜1.注册单元划分原则</t>
  </si>
  <si>
    <t>独立软件以管理类别、预期用途和功能模块划分注册单元。不同管理类别原则上作为不同注册单元；技术上无法拆分时可作为一个注册单元，并按较高管理类别申报。不同预期用途应分开，功能庞大复杂时按平台功能和特定功能等模块划分。</t>
  </si>
  <si>
    <t>H004</t>
  </si>
  <si>
    <t>检测单元</t>
  </si>
  <si>
    <t>场景问答</t>
  </si>
  <si>
    <t>同一独立软件存在多个运行环境、多个发布版本或不同类型核心算法时，检测单元应如何划分？</t>
  </si>
  <si>
    <t>七、技术考量（一）注册单元与检测单元｜2.检测单元划分原则</t>
  </si>
  <si>
    <t>检测单元原则上与注册单元相同；多个互不兼容的运行环境（含云计算）或互不涵盖的发布版本应分别作为检测单元。核心功能相同但核心算法类型不同的，各类算法对应的核心功能均需检测，检测对象是核心功能而非算法。</t>
  </si>
  <si>
    <t>H005</t>
  </si>
  <si>
    <t>云计算</t>
  </si>
  <si>
    <t>材料问答</t>
  </si>
  <si>
    <t>医疗器械软件使用云计算时，应明确哪些技术特征，并如何控制云服务商及服务终止风险？</t>
  </si>
  <si>
    <t>七、技术考量（四）云计算</t>
  </si>
  <si>
    <t>应明确服务模式、部署模式、配置、核心功能、数据接口和网络安全保证等技术特征；结合服务资质、服务协议选择云服务商，协议明确网络安全及患者数据与隐私保护责任。应在云环境开展验证确认，维护计划涵盖更新，并明确服务终止时的无损数据迁移方案。</t>
  </si>
  <si>
    <t>H006</t>
  </si>
  <si>
    <t>互操作性</t>
  </si>
  <si>
    <t>披露要求</t>
  </si>
  <si>
    <t>对于具有互操作性的软件接口，说明书和标签分别应披露哪些信息？</t>
  </si>
  <si>
    <t>七、技术考量（八）互操作性</t>
  </si>
  <si>
    <t>说明书应逐项说明每个接口的预期用户、使用场景、预期用途、技术特征、使用限制和故障应对措施；标签应根据风险控制要求明确关键软件接口的技术特征和使用限制。</t>
  </si>
  <si>
    <t>H007</t>
  </si>
  <si>
    <t>网络安全验证确认</t>
  </si>
  <si>
    <t>列表问答</t>
  </si>
  <si>
    <t>网络安全验证与确认可采用哪些典型活动，并应如何针对不同网络威胁选择技术手段？</t>
  </si>
  <si>
    <t>二、主要概念（五）网络安全验证与确认</t>
  </si>
  <si>
    <t>典型活动包括源代码安全审核、威胁建模、漏洞扫描、渗透测试和模糊测试等。应针对读取、操作、欺骗、泛洪、重定向、勒索等不同威胁，选择访问控制、关闭端口与服务、加密、签名、校验、防火墙、入侵检测和恶意代码防护等适宜手段。</t>
  </si>
  <si>
    <t>H008</t>
  </si>
  <si>
    <t>网络安全追溯</t>
  </si>
  <si>
    <t>网络安全可追溯性分析需要追踪哪些对象，并评价这些关系的哪些属性？</t>
  </si>
  <si>
    <t>二、主要概念（六）网络安全可追溯性分析</t>
  </si>
  <si>
    <t>应追踪网络安全需求、网络安全设计、源代码、网络安全测试和网络安全风险管理之间的关系，分析关系的正确性、一致性、完整性和准确性，并贯穿网络安全生存周期。</t>
  </si>
  <si>
    <t>H009</t>
  </si>
  <si>
    <t>事件应急响应</t>
  </si>
  <si>
    <t>流程问答</t>
  </si>
  <si>
    <t>网络安全事件应急响应预案应覆盖哪些阶段，事件发生后还需开展哪些管理活动？</t>
  </si>
  <si>
    <t>二、主要概念（七）网络安全事件应急响应</t>
  </si>
  <si>
    <t>预案应覆盖计划与准备、探测与报告、评估与决策、应急响应实施、总结与改进。应建立响应团队，按严重、紧迫和影响范围分类分级，验证并记录响应措施，及时告知用户；适用时按不良事件和召回法规处理，必要时向网络安全主管部门报告。</t>
  </si>
  <si>
    <t>H010</t>
  </si>
  <si>
    <t>网络安全责任</t>
  </si>
  <si>
    <t>责任问答</t>
  </si>
  <si>
    <t>医疗器械与非预期设备或系统连接时，注册申请人的网络安全责任是否可以免除，应持续履行哪些职责？</t>
  </si>
  <si>
    <t>三、基本原则（一）网络安全定位</t>
  </si>
  <si>
    <t>不能免除。注册申请人应保证产品自身网络安全，明确预期网络环境和电子接口要求，持续监测、评估、应对和分享网络安全风险，并与用户、信息技术服务商等利益相关方合作。</t>
  </si>
  <si>
    <t>H011</t>
  </si>
  <si>
    <t>现成软件安全</t>
  </si>
  <si>
    <t>现成软件组件与外部软件环境的网络安全关注重点有何不同，外部软件环境补丁应如何控制？</t>
  </si>
  <si>
    <t>五、技术考量（一）现成软件</t>
  </si>
  <si>
    <t>现成软件组件重点关注其网络安全问题对医疗器械使用效果的影响，安全性级别判定需纳入考量；外部软件环境重点关注补丁对安全有效性的影响，其安全性级别通常无需纳入判定。网络安全补丁属于设计变更，应对医疗器械进行验证和确认。</t>
  </si>
  <si>
    <t>H012</t>
  </si>
  <si>
    <t>医疗数据出境</t>
  </si>
  <si>
    <t>合规问答</t>
  </si>
  <si>
    <t>境内收集和产生的医疗数据确需向境外提供时，应遵循什么存储与安全评估原则？</t>
  </si>
  <si>
    <t>五、技术考量（二）医疗数据出境</t>
  </si>
  <si>
    <t>重要数据、个人信息和人类遗传资源信息原则上应在境内存储；业务确需向境外提供时，应按相关规定开展安全评估审核。医疗数据通常属于重要数据，敏感医疗数据还含个人信息，应同时符合相应出境安全评估规定。</t>
  </si>
  <si>
    <t>H013</t>
  </si>
  <si>
    <t>软件风险管理</t>
  </si>
  <si>
    <t>要求问答</t>
  </si>
  <si>
    <t>软件风险管理应识别和控制哪些方面的风险，并在生存周期中如何实施？</t>
  </si>
  <si>
    <t>2.3.3</t>
  </si>
  <si>
    <t>应依据风险管理控制程序，对软件功能、接口、用户界面、现成软件和网络安全等风险进行识别、分析、评价、控制和监测，并贯穿软件生存周期全过程。</t>
  </si>
  <si>
    <t>H014</t>
  </si>
  <si>
    <t>配置与版本管理</t>
  </si>
  <si>
    <t>控制问答</t>
  </si>
  <si>
    <t>软件配置管理程序和版本命名规则分别需要控制哪些内容？</t>
  </si>
  <si>
    <t>2.3.4—2.3.5</t>
  </si>
  <si>
    <t>配置管理程序应规范软件版本、源代码、文件、工具和现成软件，规定配置标识、变更控制和配置状态记录，并使用工具贯穿生存周期。版本命名规则应覆盖软件、现成软件和网络安全的全部更新类型，字段含义明确、无歧义矛盾，版本变更须符合规则。</t>
  </si>
  <si>
    <t>H015</t>
  </si>
  <si>
    <t>现成软件使用</t>
  </si>
  <si>
    <t>现成软件使用文件应规定哪些活动，遗留软件和开源软件还需满足什么附加要求？</t>
  </si>
  <si>
    <t>2.3.7</t>
  </si>
  <si>
    <t>应规定风险管理、验证确认、缺陷管理、追溯、更新、配置、文件记录和网络安全保证等活动。遗留软件还需评估现有文件、上市后使用、投诉、不良事件和召回；开源软件应遵循相应开源许可协议。</t>
  </si>
  <si>
    <t>H016</t>
  </si>
  <si>
    <t>用户测试</t>
  </si>
  <si>
    <t>测试要求</t>
  </si>
  <si>
    <t>用户测试应在何种环境实施，需要形成哪些输出并分析哪些追溯关系？</t>
  </si>
  <si>
    <t>2.3.15</t>
  </si>
  <si>
    <t>应依据计划在真实或模拟使用环境实施，涵盖现成软件和网络安全要求，形成经批准的用户测试记录、测试报告和评审记录并适时更新；追溯分析用户测试与用户需求、用户测试与风险管理的关系。</t>
  </si>
  <si>
    <t>H017</t>
  </si>
  <si>
    <t>软件发布交付</t>
  </si>
  <si>
    <t>软件发布应控制哪些活动，物理交付与网络交付的要求有何不同？</t>
  </si>
  <si>
    <t>2.5.1—2.5.2</t>
  </si>
  <si>
    <t>发布应控制产品文件创建、产品与文件归档备份、版本识别标记、交付形式评估验证和病毒防护，保证可重复性。物理交付还控制复制、许可授权及存储媒介包装、标记和防护；网络交付控制产品标记、许可授权和网络安全保证。</t>
  </si>
  <si>
    <t>H018</t>
  </si>
  <si>
    <t>安全事件响应</t>
  </si>
  <si>
    <t>网络安全事件应急响应文件应规定哪些活动并保留什么证据？</t>
  </si>
  <si>
    <t>2.8.2</t>
  </si>
  <si>
    <t>文件应规定网络安全事件风险管理、应急响应措施验证、用户告知和召回等活动，并保持相关记录。</t>
  </si>
  <si>
    <t>H019</t>
  </si>
  <si>
    <t>用户测试人员</t>
  </si>
  <si>
    <t>基础</t>
  </si>
  <si>
    <t>检查问答</t>
  </si>
  <si>
    <t>现场检查用户测试人员能力时，应核实什么要求并查看哪些证明材料？</t>
  </si>
  <si>
    <t>1.9.1</t>
  </si>
  <si>
    <t>应核实用户测试人员具有适宜的软件产品使用经验，或经过培训具备适宜使用技能；查看其岗位职责书、简历和培训记录。</t>
  </si>
  <si>
    <t>H020</t>
  </si>
  <si>
    <t>文件控制</t>
  </si>
  <si>
    <t>现场检查质量体系文件控制时，应确认哪些文件生命周期活动和防误用措施？</t>
  </si>
  <si>
    <t>4.2.2—4.2.4</t>
  </si>
  <si>
    <t>确认起草、修订、审核、批准、替换或撤销、复制、保管和销毁按程序管理，并有分发、撤销、复制和销毁记录；更新修订经过评审批准且状态可识别；分发使用适宜文本，撤销或作废文件有标识以防误用。</t>
  </si>
  <si>
    <t>H021</t>
  </si>
  <si>
    <t>软件设计</t>
  </si>
  <si>
    <t>现场检查软件设计活动时，应查看哪些文件、记录和可追溯关系？</t>
  </si>
  <si>
    <t>5.10.1</t>
  </si>
  <si>
    <t>查看软件设计相关文件和软件设计规范/SDS，适用时确认明确强制性标准要求；抽查评审记录和追溯记录，确认设计涵盖架构、功能、性能、算法、接口、界面、单元和网络安全，并分析软件设计与软件需求的关系。</t>
  </si>
  <si>
    <t>H022</t>
  </si>
  <si>
    <t>云计算协议</t>
  </si>
  <si>
    <t>企业使用云计算服务时，现场检查质量协议应确认哪些责任承担要求？</t>
  </si>
  <si>
    <t>6.6.1</t>
  </si>
  <si>
    <t>查看云计算服务协议，确认明确网络安全保证以及患者数据与隐私保护等责任承担要求。</t>
  </si>
  <si>
    <t>H023</t>
  </si>
  <si>
    <t>软件发布</t>
  </si>
  <si>
    <t>现场检查软件发布与交付时，应核实哪些文件、记录以及物理和网络交付要求？</t>
  </si>
  <si>
    <t>7.2.1—7.3.1</t>
  </si>
  <si>
    <t>查看发布文件及记录，核实文件创建、归档备份、版本识别标记、交付评估验证、病毒防护和发布可重复性。物理交付核实复制、授权、媒介包装标记防护；网络交付核实产品标记、许可授权和网络安全保证。</t>
  </si>
  <si>
    <t>H024</t>
  </si>
  <si>
    <t>应急响应检查</t>
  </si>
  <si>
    <t>现场检查网络安全事件应急响应时，应查看哪些文件规定和活动记录？</t>
  </si>
  <si>
    <t>11.7.1</t>
  </si>
  <si>
    <t>查看应急响应文件是否规定网络安全事件风险管理、应急响应措施验证、用户告知和召回等活动；适用时现场抽查相关记录。</t>
  </si>
  <si>
    <t>H025</t>
  </si>
  <si>
    <t>研发原始记录</t>
  </si>
  <si>
    <t>记录问答</t>
  </si>
  <si>
    <t>除直接输出的试验数据外，设计开发原始资料还应保留哪些辅助记录？</t>
  </si>
  <si>
    <t>4.4.2</t>
  </si>
  <si>
    <t>还应保留主要物料领用、仪器设备使用、称量、配制等辅助记录；开展临床试验时，还应保留试验器械或试剂的出库、储运、回收处置等记录。</t>
  </si>
  <si>
    <t>H026</t>
  </si>
  <si>
    <t>验证原始资料</t>
  </si>
  <si>
    <t>设计和开发验证活动的详细原始数据资料应包括哪些内容？</t>
  </si>
  <si>
    <t>4.5.7</t>
  </si>
  <si>
    <t>应保存验证方案、验证报告、验证记录（如测试数据、样品处理记录）以及辅助记录等。</t>
  </si>
  <si>
    <t>H027</t>
  </si>
  <si>
    <t>主要物料采购</t>
  </si>
  <si>
    <t>追溯问答</t>
  </si>
  <si>
    <t>主要原材料采购的时间、数量、合格证明和采购记录应满足哪些真实性与追溯要求？</t>
  </si>
  <si>
    <t>4.6.3—4.6.4</t>
  </si>
  <si>
    <t>购入或供货时间应与产品生产时间对应，数量满足生产需求，并有检验报告或合格证明；采购记录应符合产品设计需求和采购协议，做到真实、准确、完整和可追溯。</t>
  </si>
  <si>
    <t>H028</t>
  </si>
  <si>
    <t>检验记录</t>
  </si>
  <si>
    <t>注册检验和临床试验相关产品应保存哪些检验资料，部分项目委托检验时还需提供什么？</t>
  </si>
  <si>
    <t>4.8.5</t>
  </si>
  <si>
    <t>应保存进货、过程和成品检验的原始记录、检验报告或证书，以及检验方法确认或验证记录；部分项目委托检验时，还应有相关项目检验报告和委托检验协议。</t>
  </si>
  <si>
    <t>H029</t>
  </si>
  <si>
    <t>委托生产协议</t>
  </si>
  <si>
    <t>协议问答</t>
  </si>
  <si>
    <t>委托生产协议至少应覆盖哪些质量管理和过程控制事项？</t>
  </si>
  <si>
    <t>4.9.3</t>
  </si>
  <si>
    <t>至少包括受托方生产条件、技术文件转移、物料采购控制、生产工艺和过程控制、成品检验、产品放行、文件与记录、变更控制和质量管理体系审核，并明确双方权利、义务和责任。</t>
  </si>
  <si>
    <t>H030</t>
  </si>
  <si>
    <t>委托生产沟通</t>
  </si>
  <si>
    <t>委托生产过程中发生设计、采购或受托方质量体系变更时，双方应如何沟通和评估？</t>
  </si>
  <si>
    <t>4.9.14</t>
  </si>
  <si>
    <t>申请人与受托方应建立有效沟通机制；设计、采购等变更应及时通知受托方并监督执行。受托方质量体系发生可能影响产品质量的变更时，应及时告知申请人并开展联合评估。</t>
  </si>
  <si>
    <t>RAGFlow独立留出集检索与回答评测记录</t>
  </si>
  <si>
    <t>实际Top1文档</t>
  </si>
  <si>
    <t>实际Top1定位</t>
  </si>
  <si>
    <t>Top1命中</t>
  </si>
  <si>
    <t>Top3命中</t>
  </si>
  <si>
    <t>引用正确</t>
  </si>
  <si>
    <t>回答准确度(0-2)</t>
  </si>
  <si>
    <t>是否幻觉</t>
  </si>
  <si>
    <t>测试状态</t>
  </si>
  <si>
    <t>综合得分</t>
  </si>
  <si>
    <t>测试日期</t>
  </si>
  <si>
    <t>首条引用片段：二、主要概念 （七）软件版本 软件没有物理实体，只能通过状态标识进行软件更新管理， 从而保证软件质量。软件版本使用不同字段来区分软件更新类 型，进而标识软件状态，因此软件版本与软件</t>
  </si>
  <si>
    <t>待评测回答完整覆盖了人工标准答案的所有核心要点，且主要结论有实际引用证据直接支持，未增加任何无依据的具体事实。</t>
  </si>
  <si>
    <t>首条引用片段：（八）软件算法、软件功能、软件用途 软件算法是软件功能的基础，二者是多对多的关系，即一 个软件算法可供一个或多个软件功能使用，一个软件功能可含 一个或多个软件算法。同理，软件功能和</t>
  </si>
  <si>
    <t>主要结论（多对多关系、功能作为评价主线的原因）有引用证据直接支持；回答完整覆盖人工标准答案的核心要点；但回答自行增加了引用证据中不存在的适用范围限定（仅适用于自研软件），属于无依据的具体事实，判为幻觉。</t>
  </si>
  <si>
    <t>首条引用片段：七、技术考量 （一）注册单元与检测单元 1. 注册单元划分原则 （1）独立软件 独立软件注册单元以管理类别、预期用途、功能模块作为 划分原则。 不同管理类别的独立软件作为不同注册单</t>
  </si>
  <si>
    <t>主要结论有直接证据支持，且回答在结论和依据中完整覆盖了人工标准答案的核心要点，包括划分原则和管理类别不同时的申报方式。未增加无依据的事实。</t>
  </si>
  <si>
    <t>待评测回答的主要结论与引用证据完全一致，完整覆盖了人工标准答案的所有核心要点，且未增加无依据的具体事实。</t>
  </si>
  <si>
    <t>首条引用片段：七、技术考量 （四）云计算12 云计算在医疗器械行业的应用日益增多，虽然其具有降低 信息化成本、减少重复建设、提高资源利用率、增加业务灵活 性、提升服务专业性等优势，但是也存在着用</t>
  </si>
  <si>
    <t>主要结论有实际引用证据直接支持，且完整覆盖人工标准答案的所有核心要点，没有无依据的具体事实。</t>
  </si>
  <si>
    <t>首条引用片段：七、技术考量 （八）互操作性 互操作性（又称互用性）是指医疗器械与其他医疗器械或 通用设备通过电子接口交换并使用信息的能力。其中电子接口 包含硬件接口和软件接口，信息包括但不限于医</t>
  </si>
  <si>
    <t>回答主要结论有直接引用证据支持，完整覆盖了人工标准答案的核心要点，没有增加无依据的事实。</t>
  </si>
  <si>
    <t>首条引用片段：22.恶意软件探测与防护（MLDP）：产品有效探测、阻止恶 意软件的能力。 注册申请人需根据医疗器械的产品特性分析上述网络安全 能力的适用性。若适用，明确网络安全能力的实现方式，可</t>
  </si>
  <si>
    <t>待评测回答的主要结论（典型活动清单和技术手段选择）有实际引用证据直接支持，且完整覆盖人工标准答案的核心要点，没有增加无依据的具体事实。</t>
  </si>
  <si>
    <t>待评测回答的主要结论（追踪对象和评价属性）被实际引用证据直接支持；回答完整覆盖人工标准答案的核心要点（所有追踪对象和四个属性），未遗漏用户问题直接询问的内容；未增加任何无依据的具体事实。</t>
  </si>
  <si>
    <t>阶段和管理活动均有直接证据支持，并完整覆盖人工标准答案核心要点。</t>
  </si>
  <si>
    <t>首条引用片段：其互认的国际信息安全漏洞库所披露的漏洞信息，定期开展网 络安全风险管理工作。 医疗器械网络安全需要注册申请人、用户、信息技术服务 商等利益相关者的共同努力和通力合作方能得以保障。虽</t>
  </si>
  <si>
    <t>主要结论（不能免除责任及应持续履行的职责）有引用证据直接支持，且完整覆盖人工标准答案的核心要点，未增加无依据的事实。</t>
  </si>
  <si>
    <t>首条引用片段：五、技术考量 （一）现成软件 现成软件同样存在网络安全问题，注册申请人应根据质量 管理体系要求建立现成软件网络安全更新过程，结合风险管理 要求，及时将必要的现成软件网络安全信息及应</t>
  </si>
  <si>
    <t>主要结论有直接证据支持，并完整覆盖人工标准答案的核心要点。</t>
  </si>
  <si>
    <t>首条引用片段：五、技术考量 （二）医疗数据出境 根据《中华人民共和国网络安全法》《中华人民共和国数据 安全法》《中华人民共和国个人信息保护法》《中华人民共和国 人类遗传资源管理条例》等法律法规相</t>
  </si>
  <si>
    <t>首条引用片段：2.3.3 应当依据风险管理控制程序实施软件风险管理活动， 结合产品识别、分析、评价、控制和监测软件功能、接口、用户 界面、现成软件、网络安全等风险，并贯穿于软件生存周期全过 程。</t>
  </si>
  <si>
    <t>待评测回答的主要结论（识别和控制软件功能、接口、用户界面、现成软件、网络安全等风险并贯穿生存周期全过程）有实际引用证据ID:0和ID:1直接支持，citation_correct为1。回答完整覆盖了人工标准答案的所有核心要点，并补充了风险管理活动的具体过程，没有重要遗漏，answer_accuracy为2。回答没有增加证据不支持的具体事实，hallucination为0。</t>
  </si>
  <si>
    <t>首条引用片段：## 第5章 设计开发｜条款 5.5.1｜软件版本控制应当基于合规性要求确定软件版本命名规则，涵盖软件、现成软件、网络安全的全部软件更新类型，各字段含义应当明确且无歧义无矛盾。查看</t>
  </si>
  <si>
    <t>主要结论有引用证据直接支持；回答部分覆盖了人工标准答案的核心要点（版本命名规则部分完整，但配置管理部分遗漏了规范对象如源代码、文件、工具和现成软件等），存在重要遗漏，故准确度为1；未发现无依据的具体事实。</t>
  </si>
  <si>
    <t>首条引用片段：## 第5章 设计开发｜条款 5.7.1｜现成软件使用应当形成文件，确定风险管理、验证与确认、缺陷管理、可追溯性分析、软件更新、配置管理、文件与记录控制、网络安全保证等活动要求。遗</t>
  </si>
  <si>
    <t>待评测回答完全引用证据中的内容，主要结论与实际引用证据直接对应，并且完整覆盖了人工标准答案的所有核心要点，没有遗漏或实质性错误，也没有增加无依据的具体事实。</t>
  </si>
  <si>
    <t>首条引用片段：2.3.15 用户测试应当依据用户测试计划在真实使用环境或 模拟使用环境下实施，涵盖现成软件、网络安全的测试要求，确 定缺陷管理、风险管理、可追溯性分析、评审等活动要求，形成 用户</t>
  </si>
  <si>
    <t>待评测回答的环境、输出和追溯关系均有引用证据直接支持，依据中完整包含了人工标准答案的核心要点（涵盖现成软件/网络安全要求、经批准、适时更新），因此准确度为2，无幻觉。</t>
  </si>
  <si>
    <t>首条引用片段：## 第6章 采购｜条款 6.7.1｜采购时应当明确采购信息，清晰表述采购要求，包括采购物品类别、验收准则、规格型号、规程、图样等内容。应当建立采购记录，包括采购合同、原材料清单、</t>
  </si>
  <si>
    <t>待评测回答的主要结论有引用证据直接支持，并完整覆盖了人工标准答案的所有核心要点，没有幻觉内容。</t>
  </si>
  <si>
    <t>首条引用片段：2.8.2 网络安全事件应急响应应当形成文件，确定网络安全 事件风险管理、应急响应措施验证、用户告知、召回等活动要求， 保持相关记录。 第三部分术语</t>
  </si>
  <si>
    <t>待评测回答完整引用了有效证据，并准确覆盖了人工标准答案的核心要点，无遗漏或幻觉。</t>
  </si>
  <si>
    <t>首条引用片段：## 第1章 机构和人员｜条款 1.7.1｜软件开发、测试、维护人员应当具备与岗位职责要求相适宜的专业知识、实践经验和工作能力。查看相关人员的岗位职责书、简历。 ## 第1章 机构</t>
  </si>
  <si>
    <t>待评测回答的主要结论与实际引用证据（ID:0）完全一致，直接支持应核实的要求和需查看的证明材料；回答完整覆盖人工标准答案核心要点，无遗漏或错误；未增加无依据的具体事实。</t>
  </si>
  <si>
    <t>首条引用片段：## 第4章 文件管理｜条款 4.2.1｜应当建立文件控制程序，系统地设计、制定、审核、批准和发放质量管理体系文件。 ## 第4章 文件管理｜条款 4.2.2｜文件的起草、修订、审</t>
  </si>
  <si>
    <t>主要结论有直接证据支持，并完整覆盖人工标准答案的核心要点，无幻觉内容。</t>
  </si>
  <si>
    <t>首条引用片段：## 第5章 设计开发｜条款 5.11.1｜软件编码应当依据软件设计规范实施，确定源代码编写与注释、现成软件使用、可追溯性分析、各级测试用例创建、评审等活动要求，形成评审记录，并适</t>
  </si>
  <si>
    <t>主要结论（应查看的文件、记录和可追溯关系）有引用证据直接支持；回答覆盖了人工标准答案中关于文件、记录和可追溯关系的核心要点，但遗漏了确认设计涵盖架构、功能、性能、算法、接口、界面、单元和网络安全的具体要求，属于重要遗漏，因此准确度为1；未发现无依据的具体事实。</t>
  </si>
  <si>
    <t>首条引用片段：## 第6章 采购｜条款 6.3.1｜应当建立供应商审核制度，对供应商进行审核评价。必要时，应当进行现场审核。应当保留供方评价的结果和评价过程的记录。是否符合《医疗器械生产企业供应</t>
  </si>
  <si>
    <t>待评测回答的主要结论（检查文件记录、物理交付和网络交付要求）有实际引用证据直接支持，引用内容与结论对应。回答完整覆盖了人工标准答案的所有核心要点：文件记录部分在依据中明确列出了文件创建、归档备份、版本标记等要素；物理交付和网络交付要求也完整列出。回答未增加无依据的具体事实，因此幻觉为0。</t>
  </si>
  <si>
    <t>首条引用片段：## 第11章 不良事件监测、分析和改进｜条款 *11.5.1｜对存在安全隐患的医疗器械，应当按照有关法规要求采取召回等措施，并按规定向有关部门报告。 ## 第11章 不良事件监测</t>
  </si>
  <si>
    <t>首条引用片段：4.4.2（研发原始记录）设计开发原始资料应当纳入文件管 理。除直接输出的试验数据外，还应当保留设计开发过程中的辅 助记录，如主要物料领用记录、仪器设备使用记录、称量记录、 配制记</t>
  </si>
  <si>
    <t>待评测回答的主要结论（物料领用、仪器使用、称量、配制记录）有引用证据直接支持；但遗漏了人工标准答案中关于临床试验器械出库、储运、回收处置等记录，属于重要遗漏，故准确度为1；未增加无事实依据的内容。</t>
  </si>
  <si>
    <t>首条引用片段：4.5.7（验证记录）应当保存设计和开发验证活动的详细原 始数据记录资料，包括验证方案、验证报告、验证记录（如测试 数据、样品处理记录等）、辅助记录等。</t>
  </si>
  <si>
    <t>待评测回答的主要结论（验证方案、验证报告、验证记录、辅助记录）有实际引用证据（ID:0）直接支持，且完整覆盖人工标准答案的核心要点，没有增加无依据的事实。</t>
  </si>
  <si>
    <t>首条引用片段：4.6.3（主要物料采购）主要原材料购入时间或者供货时间 应当与产品生产时间相对应，购入量应当满足产品生产需求，且 应当有检验报告或者合格证明。</t>
  </si>
  <si>
    <t>首条引用片段：4.8.5（检验记录）应当保存注册检验、临床试验等相关产 品的检验报告和记录，包括：进货检验、过程检验和成品检验等 原始记录、检验报告或者证书以及检验方法确认或者验证记录等。 存在</t>
  </si>
  <si>
    <t>待评测回答完整覆盖人工标准答案的核心要点，包括进货、过程和成品检验的原始记录、检验报告或证书，检验方法确认或验证记录，以及委托检验时的相关项目检验报告和委托检验协议，且有直接证据支持，未出现无依据的事实。</t>
  </si>
  <si>
    <t>首条引用片段：4.9.3（委托协议）申请人应当与受托方签订委托协议，明 确双方权利、义务和责任，协议至少应当包括受托生产企业的生 产条件、技术文件的转移、物料采购控制、生产工艺和过程控制、 成品</t>
  </si>
  <si>
    <t>待评测回答的结论与人工标准答案核心要点完全一致，且实际引用的证据直接支持所有列出的质量管理和过程控制事项，包括明确双方权利、义务和责任（在依据部分已覆盖）。回答完整、准确，无遗漏、无幻觉。</t>
  </si>
  <si>
    <t>首条引用片段：4.9.14（沟通机制）申请人应当与受托生产企业建立有效的 沟通机制，任何设计变更、采购变更等均应当及时通知受托生产 企业并监督执行。对受托生产企业质量管理体系发生的可能影响 产品</t>
  </si>
  <si>
    <t>主要结论有直接证据支持（ID:0），且完整覆盖人工标准答案核心要点，回答中额外补充的委托协议变更控制和参与验证确认也有引用证据支持，无幻觉。</t>
  </si>
  <si>
    <t>独立留出测试集评测指标看板</t>
  </si>
  <si>
    <t>结果口径：严格按预期文档计算Top-1/Top-3；H005首次因外部Embedding接口SSL断连失败，保留原始结果并以同配置成功补测记录合并。自动裁判结果已人工复核争议题。</t>
  </si>
  <si>
    <t>题目总数</t>
  </si>
  <si>
    <t>完成率</t>
  </si>
  <si>
    <t>Top-1命中率</t>
  </si>
  <si>
    <t>Top-3命中率</t>
  </si>
  <si>
    <t>引用正确率</t>
  </si>
  <si>
    <t>回答准确率</t>
  </si>
  <si>
    <t>幻觉率</t>
  </si>
  <si>
    <t>平均得分</t>
  </si>
  <si>
    <t>题目数</t>
  </si>
  <si>
    <t>Top1命中率</t>
  </si>
  <si>
    <t>Top3命中率</t>
  </si>
  <si>
    <t>独立留出测试使用的冻结RAGFlow配置</t>
  </si>
  <si>
    <t>参数类别</t>
  </si>
  <si>
    <t>参数名称</t>
  </si>
  <si>
    <t>当前值</t>
  </si>
  <si>
    <t>说明</t>
  </si>
  <si>
    <t>知识库</t>
  </si>
  <si>
    <t>知识库名称</t>
  </si>
  <si>
    <t>医疗器械控制软件测试知识库</t>
  </si>
  <si>
    <t>第一批文档DOC001—DOC005已Validated</t>
  </si>
  <si>
    <t>模型</t>
  </si>
  <si>
    <t>LLM</t>
  </si>
  <si>
    <t>deepseek-v4-flash（DeepSeek-Official）</t>
  </si>
  <si>
    <t>用于最终回答生成</t>
  </si>
  <si>
    <t>Embedding</t>
  </si>
  <si>
    <t>text-embedding-v4（Tongyi-Official）</t>
  </si>
  <si>
    <t>用于向量化</t>
  </si>
  <si>
    <t>Rerank</t>
  </si>
  <si>
    <t>qwen3-rerank（Tongyi-Official）</t>
  </si>
  <si>
    <t>用于召回结果重排序</t>
  </si>
  <si>
    <t>检索</t>
  </si>
  <si>
    <t>相似度阈值</t>
  </si>
  <si>
    <t>0.20</t>
  </si>
  <si>
    <t>独立留出测试冻结值</t>
  </si>
  <si>
    <t>向量权重</t>
  </si>
  <si>
    <t>0.50</t>
  </si>
  <si>
    <t>全文权重</t>
  </si>
  <si>
    <t>Top-K</t>
  </si>
  <si>
    <t>1024</t>
  </si>
  <si>
    <t>送入Rerank的候选数量</t>
  </si>
  <si>
    <t>Top N</t>
  </si>
  <si>
    <t>8</t>
  </si>
  <si>
    <t>送入回答模型的最终引用片段数</t>
  </si>
  <si>
    <t>解析方法</t>
  </si>
  <si>
    <t>General / 512 / 分隔符 \n</t>
  </si>
  <si>
    <t>使用RAGFlow标题切片版Markdown</t>
  </si>
  <si>
    <t>评测</t>
  </si>
  <si>
    <t>题目数量</t>
  </si>
  <si>
    <t>30</t>
  </si>
  <si>
    <t>每份文档6题；与原50题不重复</t>
  </si>
  <si>
    <t>评分</t>
  </si>
  <si>
    <t>检索2 + 引用1 + 回答4 - 幻觉2</t>
  </si>
  <si>
    <t>满分7分，最低可为负分</t>
  </si>
  <si>
    <t>结果</t>
  </si>
  <si>
    <t>检索结果</t>
  </si>
  <si>
    <t>batch_eval_30_holdout_v1_frozen_merged_20260727_123754.json</t>
  </si>
  <si>
    <t>30题合并后的严格检索结果</t>
  </si>
  <si>
    <t>裁判结果</t>
  </si>
  <si>
    <t>judge_eval_30_20260727_124217.json</t>
  </si>
  <si>
    <t>30题自动裁判结果</t>
  </si>
  <si>
    <t>补测说明</t>
  </si>
  <si>
    <t>首次因外部Embedding接口SSL断连失败；同配置补测成功</t>
  </si>
  <si>
    <t>独立留出测试首次归档日期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</si>
</sst>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7">
    <font>
      <sz val="11"/>
      <color theme="1"/>
      <name val="宋体"/>
      <family val="2"/>
      <scheme val="minor"/>
    </font>
    <font>
      <sz val="10"/>
      <color rgb="FF1F2937"/>
      <name val="Microsoft YaHei"/>
      <family val="2"/>
      <charset val="134"/>
    </font>
    <font>
      <b/>
      <sz val="16"/>
      <color rgb="FFFFFFFF"/>
      <name val="Microsoft YaHei"/>
      <family val="2"/>
      <charset val="134"/>
    </font>
    <font>
      <b/>
      <sz val="10"/>
      <color rgb="FF1F4E78"/>
      <name val="Microsoft YaHei"/>
      <family val="2"/>
      <charset val="134"/>
    </font>
    <font>
      <b/>
      <sz val="11"/>
      <color rgb="FFFFFFFF"/>
      <name val="Microsoft YaHei"/>
      <family val="2"/>
      <charset val="134"/>
    </font>
    <font>
      <sz val="10"/>
      <color rgb="FF7F6000"/>
      <name val="Microsoft YaHei"/>
      <family val="2"/>
      <charset val="134"/>
    </font>
    <font>
      <sz val="9"/>
      <name val="宋体"/>
      <family val="3"/>
      <charset val="134"/>
      <scheme val="minor"/>
    </font>
  </fonts>
  <fills count="9">
    <fill>
      <patternFill patternType="none"/>
    </fill>
    <fill>
      <patternFill patternType="gray125"/>
    </fill>
    <fill>
      <patternFill patternType="solid">
        <fgColor rgb="FF1F4E78"/>
      </patternFill>
    </fill>
    <fill>
      <patternFill patternType="solid">
        <fgColor rgb="FFD9EAF7"/>
      </patternFill>
    </fill>
    <fill>
      <patternFill patternType="solid">
        <fgColor rgb="FFF7FBFE"/>
      </patternFill>
    </fill>
    <fill>
      <patternFill patternType="solid">
        <fgColor rgb="FF5B9BD5"/>
      </patternFill>
    </fill>
    <fill>
      <patternFill patternType="solid">
        <fgColor rgb="FFF2F2F2"/>
      </patternFill>
    </fill>
    <fill>
      <patternFill patternType="solid">
        <fgColor rgb="FFFFFFFF"/>
      </patternFill>
    </fill>
    <fill>
      <patternFill patternType="solid">
        <fgColor rgb="FFFFF2CC"/>
      </patternFill>
    </fill>
  </fills>
  <borders count="9">
    <border>
      <left/>
      <right/>
      <top/>
      <bottom/>
      <diagonal/>
    </border>
    <border>
      <left style="thin">
        <color rgb="FFC9D6E2"/>
      </left>
      <right style="thin">
        <color rgb="FFC9D6E2"/>
      </right>
      <top style="thin">
        <color rgb="FFC9D6E2"/>
      </top>
      <bottom style="thin">
        <color rgb="FFC9D6E2"/>
      </bottom>
      <diagonal/>
    </border>
    <border>
      <left/>
      <right/>
      <top style="thin">
        <color rgb="FFC9D6E2"/>
      </top>
      <bottom/>
      <diagonal/>
    </border>
    <border>
      <left/>
      <right style="thin">
        <color rgb="FFC9D6E2"/>
      </right>
      <top style="thin">
        <color rgb="FFC9D6E2"/>
      </top>
      <bottom/>
      <diagonal/>
    </border>
    <border>
      <left/>
      <right/>
      <top style="thin">
        <color rgb="FFC9D6E2"/>
      </top>
      <bottom style="thin">
        <color rgb="FFC9D6E2"/>
      </bottom>
      <diagonal/>
    </border>
    <border>
      <left/>
      <right style="thin">
        <color rgb="FFC9D6E2"/>
      </right>
      <top style="thin">
        <color rgb="FFC9D6E2"/>
      </top>
      <bottom style="thin">
        <color rgb="FFC9D6E2"/>
      </bottom>
      <diagonal/>
    </border>
    <border>
      <left style="thin">
        <color rgb="FFC9D6E2"/>
      </left>
      <right/>
      <top/>
      <bottom style="thin">
        <color rgb="FFC9D6E2"/>
      </bottom>
      <diagonal/>
    </border>
    <border>
      <left/>
      <right/>
      <top/>
      <bottom style="thin">
        <color rgb="FFC9D6E2"/>
      </bottom>
      <diagonal/>
    </border>
    <border>
      <left/>
      <right style="thin">
        <color rgb="FFC9D6E2"/>
      </right>
      <top/>
      <bottom style="thin">
        <color rgb="FFC9D6E2"/>
      </bottom>
      <diagonal/>
    </border>
  </borders>
  <cellStyleXfs count="1">
    <xf numFmtId="0" fontId="0" fillId="0" borderId="0"/>
  </cellStyleXfs>
  <cellXfs count="20">
    <xf numFmtId="0" fontId="0" fillId="0" borderId="0" xfId="0"/>
    <xf numFmtId="0" fontId="3" fillId="3" borderId="1" xfId="0" applyFont="1" applyFill="1" applyBorder="1" applyAlignment="1">
      <alignment horizontal="center" vertical="center" wrapText="1"/>
    </xf>
    <xf numFmtId="0" fontId="1" fillId="0" borderId="1" xfId="0" applyFont="1" applyBorder="1" applyAlignment="1">
      <alignment vertical="top" wrapText="1"/>
    </xf>
    <xf numFmtId="0" fontId="3" fillId="3" borderId="1" xfId="0" applyFont="1" applyFill="1" applyBorder="1" applyAlignment="1">
      <alignment horizontal="center" vertical="center"/>
    </xf>
    <xf numFmtId="0" fontId="1" fillId="4" borderId="1" xfId="0" applyFont="1" applyFill="1" applyBorder="1" applyAlignment="1">
      <alignment vertical="top" wrapText="1"/>
    </xf>
    <xf numFmtId="0" fontId="3" fillId="3" borderId="1" xfId="0" applyFont="1" applyFill="1" applyBorder="1" applyAlignment="1">
      <alignment vertical="top" wrapText="1"/>
    </xf>
    <xf numFmtId="176" fontId="1" fillId="0" borderId="1" xfId="0" applyNumberFormat="1" applyFont="1" applyBorder="1" applyAlignment="1">
      <alignment vertical="top" wrapText="1"/>
    </xf>
    <xf numFmtId="0" fontId="2" fillId="2" borderId="1" xfId="0" applyFont="1" applyFill="1" applyBorder="1" applyAlignment="1">
      <alignment horizontal="center" vertical="center"/>
    </xf>
    <xf numFmtId="0" fontId="0" fillId="0" borderId="4" xfId="0" applyBorder="1"/>
    <xf numFmtId="0" fontId="0" fillId="0" borderId="5" xfId="0" applyBorder="1"/>
    <xf numFmtId="0" fontId="1" fillId="4" borderId="1" xfId="0" applyFont="1" applyFill="1" applyBorder="1" applyAlignment="1">
      <alignment vertical="top" wrapText="1"/>
    </xf>
    <xf numFmtId="0" fontId="1" fillId="6" borderId="1" xfId="0" applyFont="1" applyFill="1" applyBorder="1" applyAlignment="1">
      <alignment vertical="center" wrapText="1"/>
    </xf>
    <xf numFmtId="0" fontId="4" fillId="5" borderId="1" xfId="0" applyFont="1" applyFill="1" applyBorder="1" applyAlignment="1">
      <alignment horizontal="left" vertical="center"/>
    </xf>
    <xf numFmtId="0" fontId="1" fillId="7" borderId="1" xfId="0" applyFont="1" applyFill="1" applyBorder="1" applyAlignment="1">
      <alignment vertical="center" wrapText="1"/>
    </xf>
    <xf numFmtId="0" fontId="5" fillId="8" borderId="1" xfId="0" applyFont="1" applyFill="1" applyBorder="1" applyAlignment="1">
      <alignment vertical="center" wrapText="1"/>
    </xf>
    <xf numFmtId="0" fontId="0" fillId="0" borderId="2" xfId="0" applyBorder="1"/>
    <xf numFmtId="0" fontId="0" fillId="0" borderId="3" xfId="0" applyBorder="1"/>
    <xf numFmtId="0" fontId="0" fillId="0" borderId="6" xfId="0" applyBorder="1"/>
    <xf numFmtId="0" fontId="0" fillId="0" borderId="7" xfId="0" applyBorder="1"/>
    <xf numFmtId="0" fontId="0" fillId="0" borderId="8" xfId="0" applyBorder="1"/>
  </cellXfs>
  <cellStyles count="1">
    <cellStyle name="常规" xfId="0" builtinId="0"/>
  </cellStyles>
  <dxfs count="1">
    <dxf>
      <fill>
        <patternFill patternType="solid">
          <fgColor rgb="FFE2F0D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7"/>
  <sheetViews>
    <sheetView showGridLines="0" tabSelected="1" workbookViewId="0">
      <pane ySplit="2" topLeftCell="A3" activePane="bottomLeft" state="frozen"/>
      <selection pane="bottomLeft" sqref="A1:J1"/>
    </sheetView>
  </sheetViews>
  <sheetFormatPr defaultRowHeight="14"/>
  <cols>
    <col min="1" max="1" width="12" customWidth="1"/>
    <col min="2" max="2" width="34" customWidth="1"/>
    <col min="3" max="3" width="24" customWidth="1"/>
    <col min="4" max="4" width="30" customWidth="1"/>
    <col min="5" max="5" width="14" customWidth="1"/>
    <col min="6" max="6" width="16" customWidth="1"/>
    <col min="7" max="7" width="42" customWidth="1"/>
    <col min="8" max="8" width="38" customWidth="1"/>
    <col min="9" max="10" width="18" customWidth="1"/>
  </cols>
  <sheetData>
    <row r="1" spans="1:10" ht="32" customHeight="1">
      <c r="A1" s="7" t="s">
        <v>0</v>
      </c>
      <c r="B1" s="8"/>
      <c r="C1" s="8"/>
      <c r="D1" s="8"/>
      <c r="E1" s="8"/>
      <c r="F1" s="8"/>
      <c r="G1" s="8"/>
      <c r="H1" s="8"/>
      <c r="I1" s="8"/>
      <c r="J1" s="9"/>
    </row>
    <row r="2" spans="1:10" ht="28" customHeight="1">
      <c r="A2" s="1" t="s">
        <v>1</v>
      </c>
      <c r="B2" s="1" t="s">
        <v>2</v>
      </c>
      <c r="C2" s="1" t="s">
        <v>3</v>
      </c>
      <c r="D2" s="1" t="s">
        <v>4</v>
      </c>
      <c r="E2" s="1" t="s">
        <v>5</v>
      </c>
      <c r="F2" s="1" t="s">
        <v>6</v>
      </c>
      <c r="G2" s="1" t="s">
        <v>7</v>
      </c>
      <c r="H2" s="1" t="s">
        <v>8</v>
      </c>
      <c r="I2" s="1" t="s">
        <v>9</v>
      </c>
      <c r="J2" s="1" t="s">
        <v>10</v>
      </c>
    </row>
    <row r="3" spans="1:10" ht="38" customHeight="1">
      <c r="A3" s="2" t="s">
        <v>11</v>
      </c>
      <c r="B3" s="2" t="s">
        <v>12</v>
      </c>
      <c r="C3" s="2" t="s">
        <v>13</v>
      </c>
      <c r="D3" s="2" t="s">
        <v>14</v>
      </c>
      <c r="E3" s="2" t="s">
        <v>15</v>
      </c>
      <c r="F3" s="2" t="s">
        <v>16</v>
      </c>
      <c r="G3" s="2" t="s">
        <v>17</v>
      </c>
      <c r="H3" s="2" t="s">
        <v>18</v>
      </c>
      <c r="I3" s="2" t="s">
        <v>19</v>
      </c>
      <c r="J3" s="2" t="s">
        <v>20</v>
      </c>
    </row>
    <row r="4" spans="1:10" ht="38" customHeight="1">
      <c r="A4" s="2" t="s">
        <v>21</v>
      </c>
      <c r="B4" s="2" t="s">
        <v>22</v>
      </c>
      <c r="C4" s="2" t="s">
        <v>23</v>
      </c>
      <c r="D4" s="2" t="s">
        <v>14</v>
      </c>
      <c r="E4" s="2" t="s">
        <v>15</v>
      </c>
      <c r="F4" s="2" t="s">
        <v>16</v>
      </c>
      <c r="G4" s="2" t="s">
        <v>24</v>
      </c>
      <c r="H4" s="2" t="s">
        <v>25</v>
      </c>
      <c r="I4" s="2" t="s">
        <v>19</v>
      </c>
      <c r="J4" s="2" t="s">
        <v>26</v>
      </c>
    </row>
    <row r="5" spans="1:10" ht="38" customHeight="1">
      <c r="A5" s="2" t="s">
        <v>27</v>
      </c>
      <c r="B5" s="2" t="s">
        <v>28</v>
      </c>
      <c r="C5" s="2" t="s">
        <v>13</v>
      </c>
      <c r="D5" s="2" t="s">
        <v>29</v>
      </c>
      <c r="E5" s="2" t="s">
        <v>30</v>
      </c>
      <c r="F5" s="2" t="s">
        <v>16</v>
      </c>
      <c r="G5" s="2" t="s">
        <v>31</v>
      </c>
      <c r="H5" s="2" t="s">
        <v>32</v>
      </c>
      <c r="I5" s="2" t="s">
        <v>19</v>
      </c>
      <c r="J5" s="2" t="s">
        <v>26</v>
      </c>
    </row>
    <row r="6" spans="1:10" ht="38" customHeight="1">
      <c r="A6" s="2" t="s">
        <v>33</v>
      </c>
      <c r="B6" s="2" t="s">
        <v>34</v>
      </c>
      <c r="C6" s="2" t="s">
        <v>35</v>
      </c>
      <c r="D6" s="2" t="s">
        <v>36</v>
      </c>
      <c r="E6" s="2" t="s">
        <v>37</v>
      </c>
      <c r="F6" s="2" t="s">
        <v>38</v>
      </c>
      <c r="G6" s="2" t="s">
        <v>39</v>
      </c>
      <c r="H6" s="2" t="s">
        <v>40</v>
      </c>
      <c r="I6" s="2" t="s">
        <v>19</v>
      </c>
      <c r="J6" s="2" t="s">
        <v>41</v>
      </c>
    </row>
    <row r="7" spans="1:10" ht="38" customHeight="1">
      <c r="A7" s="2" t="s">
        <v>42</v>
      </c>
      <c r="B7" s="2" t="s">
        <v>43</v>
      </c>
      <c r="C7" s="2" t="s">
        <v>44</v>
      </c>
      <c r="D7" s="2" t="s">
        <v>29</v>
      </c>
      <c r="E7" s="2" t="s">
        <v>45</v>
      </c>
      <c r="F7" s="2" t="s">
        <v>16</v>
      </c>
      <c r="G7" s="2" t="s">
        <v>46</v>
      </c>
      <c r="H7" s="2" t="s">
        <v>47</v>
      </c>
      <c r="I7" s="2" t="s">
        <v>19</v>
      </c>
      <c r="J7" s="2" t="s">
        <v>48</v>
      </c>
    </row>
  </sheetData>
  <autoFilter ref="A2:J7" xr:uid="{00000000-0009-0000-0000-000000000000}"/>
  <mergeCells count="1">
    <mergeCell ref="A1:J1"/>
  </mergeCells>
  <phoneticPr fontId="6" type="noConversion"/>
  <pageMargins left="0.75" right="0.75" top="1" bottom="1" header="0.5" footer="0.5"/>
  <pageSetup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7"/>
  <sheetViews>
    <sheetView showGridLines="0" workbookViewId="0">
      <pane ySplit="2" topLeftCell="A3" activePane="bottomLeft" state="frozen"/>
      <selection pane="bottomLeft"/>
    </sheetView>
  </sheetViews>
  <sheetFormatPr defaultRowHeight="14"/>
  <cols>
    <col min="1" max="1" width="18" customWidth="1"/>
    <col min="2" max="2" width="24" customWidth="1"/>
    <col min="3" max="6" width="18" customWidth="1"/>
  </cols>
  <sheetData>
    <row r="1" spans="1:6" ht="32" customHeight="1">
      <c r="A1" s="7" t="s">
        <v>49</v>
      </c>
      <c r="B1" s="8"/>
      <c r="C1" s="8"/>
      <c r="D1" s="8"/>
      <c r="E1" s="8"/>
      <c r="F1" s="9"/>
    </row>
    <row r="2" spans="1:6" ht="14.5">
      <c r="A2" s="2"/>
      <c r="B2" s="2"/>
      <c r="C2" s="2"/>
      <c r="D2" s="2"/>
      <c r="E2" s="2"/>
      <c r="F2" s="2"/>
    </row>
    <row r="3" spans="1:6" ht="45" customHeight="1">
      <c r="A3" s="3" t="s">
        <v>50</v>
      </c>
      <c r="B3" s="10" t="s">
        <v>51</v>
      </c>
      <c r="C3" s="8"/>
      <c r="D3" s="8"/>
      <c r="E3" s="8"/>
      <c r="F3" s="9"/>
    </row>
    <row r="4" spans="1:6" ht="45" customHeight="1">
      <c r="A4" s="3" t="s">
        <v>52</v>
      </c>
      <c r="B4" s="10" t="s">
        <v>53</v>
      </c>
      <c r="C4" s="8"/>
      <c r="D4" s="8"/>
      <c r="E4" s="8"/>
      <c r="F4" s="9"/>
    </row>
    <row r="5" spans="1:6" ht="45" customHeight="1">
      <c r="A5" s="3" t="s">
        <v>54</v>
      </c>
      <c r="B5" s="10" t="s">
        <v>55</v>
      </c>
      <c r="C5" s="8"/>
      <c r="D5" s="8"/>
      <c r="E5" s="8"/>
      <c r="F5" s="9"/>
    </row>
    <row r="6" spans="1:6" ht="45" customHeight="1">
      <c r="A6" s="3" t="s">
        <v>56</v>
      </c>
      <c r="B6" s="10" t="s">
        <v>57</v>
      </c>
      <c r="C6" s="8"/>
      <c r="D6" s="8"/>
      <c r="E6" s="8"/>
      <c r="F6" s="9"/>
    </row>
    <row r="7" spans="1:6" ht="45" customHeight="1">
      <c r="A7" s="3" t="s">
        <v>58</v>
      </c>
      <c r="B7" s="10" t="s">
        <v>59</v>
      </c>
      <c r="C7" s="8"/>
      <c r="D7" s="8"/>
      <c r="E7" s="8"/>
      <c r="F7" s="9"/>
    </row>
    <row r="8" spans="1:6" ht="45" customHeight="1">
      <c r="A8" s="3" t="s">
        <v>60</v>
      </c>
      <c r="B8" s="10" t="s">
        <v>61</v>
      </c>
      <c r="C8" s="8"/>
      <c r="D8" s="8"/>
      <c r="E8" s="8"/>
      <c r="F8" s="9"/>
    </row>
    <row r="9" spans="1:6" ht="14.5">
      <c r="A9" s="2"/>
      <c r="B9" s="2"/>
      <c r="C9" s="2"/>
      <c r="D9" s="2"/>
      <c r="E9" s="2"/>
      <c r="F9" s="2"/>
    </row>
    <row r="10" spans="1:6" ht="14.5">
      <c r="A10" s="2"/>
      <c r="B10" s="2"/>
      <c r="C10" s="2"/>
      <c r="D10" s="2"/>
      <c r="E10" s="2"/>
      <c r="F10" s="2"/>
    </row>
    <row r="11" spans="1:6" ht="16.5">
      <c r="A11" s="12" t="s">
        <v>62</v>
      </c>
      <c r="B11" s="8"/>
      <c r="C11" s="8"/>
      <c r="D11" s="8"/>
      <c r="E11" s="8"/>
      <c r="F11" s="9"/>
    </row>
    <row r="12" spans="1:6" ht="28" customHeight="1">
      <c r="A12" s="11" t="s">
        <v>63</v>
      </c>
      <c r="B12" s="8"/>
      <c r="C12" s="8"/>
      <c r="D12" s="8"/>
      <c r="E12" s="8"/>
      <c r="F12" s="9"/>
    </row>
    <row r="13" spans="1:6" ht="28" customHeight="1">
      <c r="A13" s="13" t="s">
        <v>64</v>
      </c>
      <c r="B13" s="8"/>
      <c r="C13" s="8"/>
      <c r="D13" s="8"/>
      <c r="E13" s="8"/>
      <c r="F13" s="9"/>
    </row>
    <row r="14" spans="1:6" ht="28" customHeight="1">
      <c r="A14" s="11" t="s">
        <v>65</v>
      </c>
      <c r="B14" s="8"/>
      <c r="C14" s="8"/>
      <c r="D14" s="8"/>
      <c r="E14" s="8"/>
      <c r="F14" s="9"/>
    </row>
    <row r="15" spans="1:6" ht="28" customHeight="1">
      <c r="A15" s="13" t="s">
        <v>66</v>
      </c>
      <c r="B15" s="8"/>
      <c r="C15" s="8"/>
      <c r="D15" s="8"/>
      <c r="E15" s="8"/>
      <c r="F15" s="9"/>
    </row>
    <row r="16" spans="1:6" ht="28" customHeight="1">
      <c r="A16" s="11" t="s">
        <v>67</v>
      </c>
      <c r="B16" s="8"/>
      <c r="C16" s="8"/>
      <c r="D16" s="8"/>
      <c r="E16" s="8"/>
      <c r="F16" s="9"/>
    </row>
    <row r="17" spans="1:6" ht="28" customHeight="1">
      <c r="A17" s="13" t="s">
        <v>68</v>
      </c>
      <c r="B17" s="8"/>
      <c r="C17" s="8"/>
      <c r="D17" s="8"/>
      <c r="E17" s="8"/>
      <c r="F17" s="9"/>
    </row>
  </sheetData>
  <mergeCells count="14">
    <mergeCell ref="A1:F1"/>
    <mergeCell ref="B3:F3"/>
    <mergeCell ref="B5:F5"/>
    <mergeCell ref="A17:F17"/>
    <mergeCell ref="A12:F12"/>
    <mergeCell ref="B8:F8"/>
    <mergeCell ref="A15:F15"/>
    <mergeCell ref="B4:F4"/>
    <mergeCell ref="A16:F16"/>
    <mergeCell ref="A11:F11"/>
    <mergeCell ref="B7:F7"/>
    <mergeCell ref="B6:F6"/>
    <mergeCell ref="A13:F13"/>
    <mergeCell ref="A14:F14"/>
  </mergeCells>
  <phoneticPr fontId="6" type="noConversion"/>
  <pageMargins left="0.75" right="0.75" top="1" bottom="1" header="0.5" footer="0.5"/>
  <pageSetup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32"/>
  <sheetViews>
    <sheetView showGridLines="0" workbookViewId="0">
      <pane ySplit="2" topLeftCell="A3" activePane="bottomLeft" state="frozen"/>
      <selection pane="bottomLeft"/>
    </sheetView>
  </sheetViews>
  <sheetFormatPr defaultRowHeight="14"/>
  <cols>
    <col min="1" max="1" width="11" customWidth="1"/>
    <col min="2" max="2" width="13" customWidth="1"/>
    <col min="3" max="3" width="16" customWidth="1"/>
    <col min="4" max="4" width="9" customWidth="1"/>
    <col min="5" max="5" width="12" customWidth="1"/>
    <col min="6" max="6" width="48" customWidth="1"/>
    <col min="7" max="7" width="38" customWidth="1"/>
    <col min="8" max="8" width="70" customWidth="1"/>
    <col min="9" max="9" width="12" customWidth="1"/>
    <col min="10" max="10" width="32" customWidth="1"/>
  </cols>
  <sheetData>
    <row r="1" spans="1:10" ht="32" customHeight="1">
      <c r="A1" s="7" t="s">
        <v>69</v>
      </c>
      <c r="B1" s="8"/>
      <c r="C1" s="8"/>
      <c r="D1" s="8"/>
      <c r="E1" s="8"/>
      <c r="F1" s="8"/>
      <c r="G1" s="8"/>
      <c r="H1" s="8"/>
      <c r="I1" s="8"/>
      <c r="J1" s="9"/>
    </row>
    <row r="2" spans="1:10" ht="28" customHeight="1">
      <c r="A2" s="1" t="s">
        <v>70</v>
      </c>
      <c r="B2" s="1" t="s">
        <v>71</v>
      </c>
      <c r="C2" s="1" t="s">
        <v>72</v>
      </c>
      <c r="D2" s="1" t="s">
        <v>73</v>
      </c>
      <c r="E2" s="1" t="s">
        <v>74</v>
      </c>
      <c r="F2" s="1" t="s">
        <v>75</v>
      </c>
      <c r="G2" s="1" t="s">
        <v>76</v>
      </c>
      <c r="H2" s="1" t="s">
        <v>77</v>
      </c>
      <c r="I2" s="1" t="s">
        <v>9</v>
      </c>
      <c r="J2" s="1" t="s">
        <v>78</v>
      </c>
    </row>
    <row r="3" spans="1:10" ht="64" customHeight="1">
      <c r="A3" s="2" t="s">
        <v>79</v>
      </c>
      <c r="B3" s="2" t="s">
        <v>11</v>
      </c>
      <c r="C3" s="2" t="s">
        <v>80</v>
      </c>
      <c r="D3" s="2" t="s">
        <v>81</v>
      </c>
      <c r="E3" s="2" t="s">
        <v>82</v>
      </c>
      <c r="F3" s="2" t="s">
        <v>83</v>
      </c>
      <c r="G3" s="2" t="s">
        <v>84</v>
      </c>
      <c r="H3" s="2" t="s">
        <v>85</v>
      </c>
      <c r="I3" s="2" t="s">
        <v>86</v>
      </c>
      <c r="J3" s="2" t="s">
        <v>87</v>
      </c>
    </row>
    <row r="4" spans="1:10" ht="64" customHeight="1">
      <c r="A4" s="2" t="s">
        <v>88</v>
      </c>
      <c r="B4" s="2" t="s">
        <v>11</v>
      </c>
      <c r="C4" s="2" t="s">
        <v>89</v>
      </c>
      <c r="D4" s="2" t="s">
        <v>90</v>
      </c>
      <c r="E4" s="2" t="s">
        <v>91</v>
      </c>
      <c r="F4" s="2" t="s">
        <v>92</v>
      </c>
      <c r="G4" s="2" t="s">
        <v>93</v>
      </c>
      <c r="H4" s="2" t="s">
        <v>94</v>
      </c>
      <c r="I4" s="2" t="s">
        <v>86</v>
      </c>
      <c r="J4" s="2" t="s">
        <v>87</v>
      </c>
    </row>
    <row r="5" spans="1:10" ht="64" customHeight="1">
      <c r="A5" s="2" t="s">
        <v>95</v>
      </c>
      <c r="B5" s="2" t="s">
        <v>11</v>
      </c>
      <c r="C5" s="2" t="s">
        <v>96</v>
      </c>
      <c r="D5" s="2" t="s">
        <v>81</v>
      </c>
      <c r="E5" s="2" t="s">
        <v>97</v>
      </c>
      <c r="F5" s="2" t="s">
        <v>98</v>
      </c>
      <c r="G5" s="2" t="s">
        <v>99</v>
      </c>
      <c r="H5" s="2" t="s">
        <v>100</v>
      </c>
      <c r="I5" s="2" t="s">
        <v>86</v>
      </c>
      <c r="J5" s="2" t="s">
        <v>87</v>
      </c>
    </row>
    <row r="6" spans="1:10" ht="64" customHeight="1">
      <c r="A6" s="2" t="s">
        <v>101</v>
      </c>
      <c r="B6" s="2" t="s">
        <v>11</v>
      </c>
      <c r="C6" s="2" t="s">
        <v>102</v>
      </c>
      <c r="D6" s="2" t="s">
        <v>81</v>
      </c>
      <c r="E6" s="2" t="s">
        <v>103</v>
      </c>
      <c r="F6" s="2" t="s">
        <v>104</v>
      </c>
      <c r="G6" s="2" t="s">
        <v>105</v>
      </c>
      <c r="H6" s="2" t="s">
        <v>106</v>
      </c>
      <c r="I6" s="2" t="s">
        <v>86</v>
      </c>
      <c r="J6" s="2" t="s">
        <v>87</v>
      </c>
    </row>
    <row r="7" spans="1:10" ht="64" customHeight="1">
      <c r="A7" s="2" t="s">
        <v>107</v>
      </c>
      <c r="B7" s="2" t="s">
        <v>11</v>
      </c>
      <c r="C7" s="2" t="s">
        <v>108</v>
      </c>
      <c r="D7" s="2" t="s">
        <v>81</v>
      </c>
      <c r="E7" s="2" t="s">
        <v>109</v>
      </c>
      <c r="F7" s="2" t="s">
        <v>110</v>
      </c>
      <c r="G7" s="2" t="s">
        <v>111</v>
      </c>
      <c r="H7" s="2" t="s">
        <v>112</v>
      </c>
      <c r="I7" s="2" t="s">
        <v>86</v>
      </c>
      <c r="J7" s="2" t="s">
        <v>87</v>
      </c>
    </row>
    <row r="8" spans="1:10" ht="64" customHeight="1">
      <c r="A8" s="2" t="s">
        <v>113</v>
      </c>
      <c r="B8" s="2" t="s">
        <v>11</v>
      </c>
      <c r="C8" s="2" t="s">
        <v>114</v>
      </c>
      <c r="D8" s="2" t="s">
        <v>81</v>
      </c>
      <c r="E8" s="2" t="s">
        <v>115</v>
      </c>
      <c r="F8" s="2" t="s">
        <v>116</v>
      </c>
      <c r="G8" s="2" t="s">
        <v>117</v>
      </c>
      <c r="H8" s="2" t="s">
        <v>118</v>
      </c>
      <c r="I8" s="2" t="s">
        <v>86</v>
      </c>
      <c r="J8" s="2" t="s">
        <v>87</v>
      </c>
    </row>
    <row r="9" spans="1:10" ht="64" customHeight="1">
      <c r="A9" s="2" t="s">
        <v>119</v>
      </c>
      <c r="B9" s="2" t="s">
        <v>21</v>
      </c>
      <c r="C9" s="2" t="s">
        <v>120</v>
      </c>
      <c r="D9" s="2" t="s">
        <v>90</v>
      </c>
      <c r="E9" s="2" t="s">
        <v>121</v>
      </c>
      <c r="F9" s="2" t="s">
        <v>122</v>
      </c>
      <c r="G9" s="2" t="s">
        <v>123</v>
      </c>
      <c r="H9" s="2" t="s">
        <v>124</v>
      </c>
      <c r="I9" s="2" t="s">
        <v>86</v>
      </c>
      <c r="J9" s="2" t="s">
        <v>87</v>
      </c>
    </row>
    <row r="10" spans="1:10" ht="64" customHeight="1">
      <c r="A10" s="2" t="s">
        <v>125</v>
      </c>
      <c r="B10" s="2" t="s">
        <v>21</v>
      </c>
      <c r="C10" s="2" t="s">
        <v>126</v>
      </c>
      <c r="D10" s="2" t="s">
        <v>90</v>
      </c>
      <c r="E10" s="2" t="s">
        <v>91</v>
      </c>
      <c r="F10" s="2" t="s">
        <v>127</v>
      </c>
      <c r="G10" s="2" t="s">
        <v>128</v>
      </c>
      <c r="H10" s="2" t="s">
        <v>129</v>
      </c>
      <c r="I10" s="2" t="s">
        <v>86</v>
      </c>
      <c r="J10" s="2" t="s">
        <v>87</v>
      </c>
    </row>
    <row r="11" spans="1:10" ht="64" customHeight="1">
      <c r="A11" s="2" t="s">
        <v>130</v>
      </c>
      <c r="B11" s="2" t="s">
        <v>21</v>
      </c>
      <c r="C11" s="2" t="s">
        <v>131</v>
      </c>
      <c r="D11" s="2" t="s">
        <v>81</v>
      </c>
      <c r="E11" s="2" t="s">
        <v>132</v>
      </c>
      <c r="F11" s="2" t="s">
        <v>133</v>
      </c>
      <c r="G11" s="2" t="s">
        <v>134</v>
      </c>
      <c r="H11" s="2" t="s">
        <v>135</v>
      </c>
      <c r="I11" s="2" t="s">
        <v>86</v>
      </c>
      <c r="J11" s="2" t="s">
        <v>87</v>
      </c>
    </row>
    <row r="12" spans="1:10" ht="64" customHeight="1">
      <c r="A12" s="2" t="s">
        <v>136</v>
      </c>
      <c r="B12" s="2" t="s">
        <v>21</v>
      </c>
      <c r="C12" s="2" t="s">
        <v>137</v>
      </c>
      <c r="D12" s="2" t="s">
        <v>81</v>
      </c>
      <c r="E12" s="2" t="s">
        <v>138</v>
      </c>
      <c r="F12" s="2" t="s">
        <v>139</v>
      </c>
      <c r="G12" s="2" t="s">
        <v>140</v>
      </c>
      <c r="H12" s="2" t="s">
        <v>141</v>
      </c>
      <c r="I12" s="2" t="s">
        <v>86</v>
      </c>
      <c r="J12" s="2" t="s">
        <v>87</v>
      </c>
    </row>
    <row r="13" spans="1:10" ht="64" customHeight="1">
      <c r="A13" s="2" t="s">
        <v>142</v>
      </c>
      <c r="B13" s="2" t="s">
        <v>21</v>
      </c>
      <c r="C13" s="2" t="s">
        <v>143</v>
      </c>
      <c r="D13" s="2" t="s">
        <v>81</v>
      </c>
      <c r="E13" s="2" t="s">
        <v>82</v>
      </c>
      <c r="F13" s="2" t="s">
        <v>144</v>
      </c>
      <c r="G13" s="2" t="s">
        <v>145</v>
      </c>
      <c r="H13" s="2" t="s">
        <v>146</v>
      </c>
      <c r="I13" s="2" t="s">
        <v>86</v>
      </c>
      <c r="J13" s="2" t="s">
        <v>87</v>
      </c>
    </row>
    <row r="14" spans="1:10" ht="64" customHeight="1">
      <c r="A14" s="2" t="s">
        <v>147</v>
      </c>
      <c r="B14" s="2" t="s">
        <v>21</v>
      </c>
      <c r="C14" s="2" t="s">
        <v>148</v>
      </c>
      <c r="D14" s="2" t="s">
        <v>90</v>
      </c>
      <c r="E14" s="2" t="s">
        <v>149</v>
      </c>
      <c r="F14" s="2" t="s">
        <v>150</v>
      </c>
      <c r="G14" s="2" t="s">
        <v>151</v>
      </c>
      <c r="H14" s="2" t="s">
        <v>152</v>
      </c>
      <c r="I14" s="2" t="s">
        <v>86</v>
      </c>
      <c r="J14" s="2" t="s">
        <v>87</v>
      </c>
    </row>
    <row r="15" spans="1:10" ht="64" customHeight="1">
      <c r="A15" s="2" t="s">
        <v>153</v>
      </c>
      <c r="B15" s="2" t="s">
        <v>27</v>
      </c>
      <c r="C15" s="2" t="s">
        <v>154</v>
      </c>
      <c r="D15" s="2" t="s">
        <v>90</v>
      </c>
      <c r="E15" s="2" t="s">
        <v>155</v>
      </c>
      <c r="F15" s="2" t="s">
        <v>156</v>
      </c>
      <c r="G15" s="2" t="s">
        <v>157</v>
      </c>
      <c r="H15" s="2" t="s">
        <v>158</v>
      </c>
      <c r="I15" s="2" t="s">
        <v>86</v>
      </c>
      <c r="J15" s="2" t="s">
        <v>87</v>
      </c>
    </row>
    <row r="16" spans="1:10" ht="64" customHeight="1">
      <c r="A16" s="2" t="s">
        <v>159</v>
      </c>
      <c r="B16" s="2" t="s">
        <v>27</v>
      </c>
      <c r="C16" s="2" t="s">
        <v>160</v>
      </c>
      <c r="D16" s="2" t="s">
        <v>81</v>
      </c>
      <c r="E16" s="2" t="s">
        <v>161</v>
      </c>
      <c r="F16" s="2" t="s">
        <v>162</v>
      </c>
      <c r="G16" s="2" t="s">
        <v>163</v>
      </c>
      <c r="H16" s="2" t="s">
        <v>164</v>
      </c>
      <c r="I16" s="2" t="s">
        <v>86</v>
      </c>
      <c r="J16" s="2" t="s">
        <v>87</v>
      </c>
    </row>
    <row r="17" spans="1:10" ht="64" customHeight="1">
      <c r="A17" s="2" t="s">
        <v>165</v>
      </c>
      <c r="B17" s="2" t="s">
        <v>27</v>
      </c>
      <c r="C17" s="2" t="s">
        <v>166</v>
      </c>
      <c r="D17" s="2" t="s">
        <v>81</v>
      </c>
      <c r="E17" s="2" t="s">
        <v>155</v>
      </c>
      <c r="F17" s="2" t="s">
        <v>167</v>
      </c>
      <c r="G17" s="2" t="s">
        <v>168</v>
      </c>
      <c r="H17" s="2" t="s">
        <v>169</v>
      </c>
      <c r="I17" s="2" t="s">
        <v>86</v>
      </c>
      <c r="J17" s="2" t="s">
        <v>87</v>
      </c>
    </row>
    <row r="18" spans="1:10" ht="64" customHeight="1">
      <c r="A18" s="2" t="s">
        <v>170</v>
      </c>
      <c r="B18" s="2" t="s">
        <v>27</v>
      </c>
      <c r="C18" s="2" t="s">
        <v>171</v>
      </c>
      <c r="D18" s="2" t="s">
        <v>81</v>
      </c>
      <c r="E18" s="2" t="s">
        <v>172</v>
      </c>
      <c r="F18" s="2" t="s">
        <v>173</v>
      </c>
      <c r="G18" s="2" t="s">
        <v>174</v>
      </c>
      <c r="H18" s="2" t="s">
        <v>175</v>
      </c>
      <c r="I18" s="2" t="s">
        <v>86</v>
      </c>
      <c r="J18" s="2" t="s">
        <v>87</v>
      </c>
    </row>
    <row r="19" spans="1:10" ht="64" customHeight="1">
      <c r="A19" s="2" t="s">
        <v>176</v>
      </c>
      <c r="B19" s="2" t="s">
        <v>27</v>
      </c>
      <c r="C19" s="2" t="s">
        <v>177</v>
      </c>
      <c r="D19" s="2" t="s">
        <v>81</v>
      </c>
      <c r="E19" s="2" t="s">
        <v>132</v>
      </c>
      <c r="F19" s="2" t="s">
        <v>178</v>
      </c>
      <c r="G19" s="2" t="s">
        <v>179</v>
      </c>
      <c r="H19" s="2" t="s">
        <v>180</v>
      </c>
      <c r="I19" s="2" t="s">
        <v>86</v>
      </c>
      <c r="J19" s="2" t="s">
        <v>87</v>
      </c>
    </row>
    <row r="20" spans="1:10" ht="64" customHeight="1">
      <c r="A20" s="2" t="s">
        <v>181</v>
      </c>
      <c r="B20" s="2" t="s">
        <v>27</v>
      </c>
      <c r="C20" s="2" t="s">
        <v>182</v>
      </c>
      <c r="D20" s="2" t="s">
        <v>90</v>
      </c>
      <c r="E20" s="2" t="s">
        <v>155</v>
      </c>
      <c r="F20" s="2" t="s">
        <v>183</v>
      </c>
      <c r="G20" s="2" t="s">
        <v>184</v>
      </c>
      <c r="H20" s="2" t="s">
        <v>185</v>
      </c>
      <c r="I20" s="2" t="s">
        <v>86</v>
      </c>
      <c r="J20" s="2" t="s">
        <v>87</v>
      </c>
    </row>
    <row r="21" spans="1:10" ht="64" customHeight="1">
      <c r="A21" s="2" t="s">
        <v>186</v>
      </c>
      <c r="B21" s="2" t="s">
        <v>33</v>
      </c>
      <c r="C21" s="2" t="s">
        <v>187</v>
      </c>
      <c r="D21" s="2" t="s">
        <v>188</v>
      </c>
      <c r="E21" s="2" t="s">
        <v>189</v>
      </c>
      <c r="F21" s="2" t="s">
        <v>190</v>
      </c>
      <c r="G21" s="2" t="s">
        <v>191</v>
      </c>
      <c r="H21" s="2" t="s">
        <v>192</v>
      </c>
      <c r="I21" s="2" t="s">
        <v>86</v>
      </c>
      <c r="J21" s="2" t="s">
        <v>87</v>
      </c>
    </row>
    <row r="22" spans="1:10" ht="64" customHeight="1">
      <c r="A22" s="2" t="s">
        <v>193</v>
      </c>
      <c r="B22" s="2" t="s">
        <v>33</v>
      </c>
      <c r="C22" s="2" t="s">
        <v>194</v>
      </c>
      <c r="D22" s="2" t="s">
        <v>81</v>
      </c>
      <c r="E22" s="2" t="s">
        <v>189</v>
      </c>
      <c r="F22" s="2" t="s">
        <v>195</v>
      </c>
      <c r="G22" s="2" t="s">
        <v>196</v>
      </c>
      <c r="H22" s="2" t="s">
        <v>197</v>
      </c>
      <c r="I22" s="2" t="s">
        <v>86</v>
      </c>
      <c r="J22" s="2" t="s">
        <v>87</v>
      </c>
    </row>
    <row r="23" spans="1:10" ht="64" customHeight="1">
      <c r="A23" s="2" t="s">
        <v>198</v>
      </c>
      <c r="B23" s="2" t="s">
        <v>33</v>
      </c>
      <c r="C23" s="2" t="s">
        <v>199</v>
      </c>
      <c r="D23" s="2" t="s">
        <v>81</v>
      </c>
      <c r="E23" s="2" t="s">
        <v>189</v>
      </c>
      <c r="F23" s="2" t="s">
        <v>200</v>
      </c>
      <c r="G23" s="2" t="s">
        <v>201</v>
      </c>
      <c r="H23" s="2" t="s">
        <v>202</v>
      </c>
      <c r="I23" s="2" t="s">
        <v>86</v>
      </c>
      <c r="J23" s="2" t="s">
        <v>87</v>
      </c>
    </row>
    <row r="24" spans="1:10" ht="64" customHeight="1">
      <c r="A24" s="2" t="s">
        <v>203</v>
      </c>
      <c r="B24" s="2" t="s">
        <v>33</v>
      </c>
      <c r="C24" s="2" t="s">
        <v>204</v>
      </c>
      <c r="D24" s="2" t="s">
        <v>188</v>
      </c>
      <c r="E24" s="2" t="s">
        <v>189</v>
      </c>
      <c r="F24" s="2" t="s">
        <v>205</v>
      </c>
      <c r="G24" s="2" t="s">
        <v>206</v>
      </c>
      <c r="H24" s="2" t="s">
        <v>207</v>
      </c>
      <c r="I24" s="2" t="s">
        <v>86</v>
      </c>
      <c r="J24" s="2" t="s">
        <v>87</v>
      </c>
    </row>
    <row r="25" spans="1:10" ht="64" customHeight="1">
      <c r="A25" s="2" t="s">
        <v>208</v>
      </c>
      <c r="B25" s="2" t="s">
        <v>33</v>
      </c>
      <c r="C25" s="2" t="s">
        <v>209</v>
      </c>
      <c r="D25" s="2" t="s">
        <v>81</v>
      </c>
      <c r="E25" s="2" t="s">
        <v>189</v>
      </c>
      <c r="F25" s="2" t="s">
        <v>210</v>
      </c>
      <c r="G25" s="2" t="s">
        <v>211</v>
      </c>
      <c r="H25" s="2" t="s">
        <v>212</v>
      </c>
      <c r="I25" s="2" t="s">
        <v>86</v>
      </c>
      <c r="J25" s="2" t="s">
        <v>87</v>
      </c>
    </row>
    <row r="26" spans="1:10" ht="64" customHeight="1">
      <c r="A26" s="2" t="s">
        <v>213</v>
      </c>
      <c r="B26" s="2" t="s">
        <v>33</v>
      </c>
      <c r="C26" s="2" t="s">
        <v>214</v>
      </c>
      <c r="D26" s="2" t="s">
        <v>90</v>
      </c>
      <c r="E26" s="2" t="s">
        <v>189</v>
      </c>
      <c r="F26" s="2" t="s">
        <v>215</v>
      </c>
      <c r="G26" s="2" t="s">
        <v>216</v>
      </c>
      <c r="H26" s="2" t="s">
        <v>217</v>
      </c>
      <c r="I26" s="2" t="s">
        <v>86</v>
      </c>
      <c r="J26" s="2" t="s">
        <v>87</v>
      </c>
    </row>
    <row r="27" spans="1:10" ht="64" customHeight="1">
      <c r="A27" s="2" t="s">
        <v>218</v>
      </c>
      <c r="B27" s="2" t="s">
        <v>42</v>
      </c>
      <c r="C27" s="2" t="s">
        <v>219</v>
      </c>
      <c r="D27" s="2" t="s">
        <v>90</v>
      </c>
      <c r="E27" s="2" t="s">
        <v>220</v>
      </c>
      <c r="F27" s="2" t="s">
        <v>221</v>
      </c>
      <c r="G27" s="2" t="s">
        <v>222</v>
      </c>
      <c r="H27" s="2" t="s">
        <v>223</v>
      </c>
      <c r="I27" s="2" t="s">
        <v>86</v>
      </c>
      <c r="J27" s="2" t="s">
        <v>87</v>
      </c>
    </row>
    <row r="28" spans="1:10" ht="64" customHeight="1">
      <c r="A28" s="2" t="s">
        <v>224</v>
      </c>
      <c r="B28" s="2" t="s">
        <v>42</v>
      </c>
      <c r="C28" s="2" t="s">
        <v>225</v>
      </c>
      <c r="D28" s="2" t="s">
        <v>188</v>
      </c>
      <c r="E28" s="2" t="s">
        <v>220</v>
      </c>
      <c r="F28" s="2" t="s">
        <v>226</v>
      </c>
      <c r="G28" s="2" t="s">
        <v>227</v>
      </c>
      <c r="H28" s="2" t="s">
        <v>228</v>
      </c>
      <c r="I28" s="2" t="s">
        <v>86</v>
      </c>
      <c r="J28" s="2" t="s">
        <v>87</v>
      </c>
    </row>
    <row r="29" spans="1:10" ht="64" customHeight="1">
      <c r="A29" s="2" t="s">
        <v>229</v>
      </c>
      <c r="B29" s="2" t="s">
        <v>42</v>
      </c>
      <c r="C29" s="2" t="s">
        <v>230</v>
      </c>
      <c r="D29" s="2" t="s">
        <v>81</v>
      </c>
      <c r="E29" s="2" t="s">
        <v>231</v>
      </c>
      <c r="F29" s="2" t="s">
        <v>232</v>
      </c>
      <c r="G29" s="2" t="s">
        <v>233</v>
      </c>
      <c r="H29" s="2" t="s">
        <v>234</v>
      </c>
      <c r="I29" s="2" t="s">
        <v>86</v>
      </c>
      <c r="J29" s="2" t="s">
        <v>87</v>
      </c>
    </row>
    <row r="30" spans="1:10" ht="64" customHeight="1">
      <c r="A30" s="2" t="s">
        <v>235</v>
      </c>
      <c r="B30" s="2" t="s">
        <v>42</v>
      </c>
      <c r="C30" s="2" t="s">
        <v>236</v>
      </c>
      <c r="D30" s="2" t="s">
        <v>81</v>
      </c>
      <c r="E30" s="2" t="s">
        <v>109</v>
      </c>
      <c r="F30" s="2" t="s">
        <v>237</v>
      </c>
      <c r="G30" s="2" t="s">
        <v>238</v>
      </c>
      <c r="H30" s="2" t="s">
        <v>239</v>
      </c>
      <c r="I30" s="2" t="s">
        <v>86</v>
      </c>
      <c r="J30" s="2" t="s">
        <v>87</v>
      </c>
    </row>
    <row r="31" spans="1:10" ht="64" customHeight="1">
      <c r="A31" s="2" t="s">
        <v>240</v>
      </c>
      <c r="B31" s="2" t="s">
        <v>42</v>
      </c>
      <c r="C31" s="2" t="s">
        <v>241</v>
      </c>
      <c r="D31" s="2" t="s">
        <v>81</v>
      </c>
      <c r="E31" s="2" t="s">
        <v>242</v>
      </c>
      <c r="F31" s="2" t="s">
        <v>243</v>
      </c>
      <c r="G31" s="2" t="s">
        <v>244</v>
      </c>
      <c r="H31" s="2" t="s">
        <v>245</v>
      </c>
      <c r="I31" s="2" t="s">
        <v>86</v>
      </c>
      <c r="J31" s="2" t="s">
        <v>87</v>
      </c>
    </row>
    <row r="32" spans="1:10" ht="64" customHeight="1">
      <c r="A32" s="2" t="s">
        <v>246</v>
      </c>
      <c r="B32" s="2" t="s">
        <v>42</v>
      </c>
      <c r="C32" s="2" t="s">
        <v>247</v>
      </c>
      <c r="D32" s="2" t="s">
        <v>81</v>
      </c>
      <c r="E32" s="2" t="s">
        <v>103</v>
      </c>
      <c r="F32" s="2" t="s">
        <v>248</v>
      </c>
      <c r="G32" s="2" t="s">
        <v>249</v>
      </c>
      <c r="H32" s="2" t="s">
        <v>250</v>
      </c>
      <c r="I32" s="2" t="s">
        <v>86</v>
      </c>
      <c r="J32" s="2" t="s">
        <v>87</v>
      </c>
    </row>
  </sheetData>
  <autoFilter ref="A2:J32" xr:uid="{00000000-0009-0000-0000-000002000000}"/>
  <mergeCells count="1">
    <mergeCell ref="A1:J1"/>
  </mergeCells>
  <phoneticPr fontId="6" type="noConversion"/>
  <dataValidations count="1">
    <dataValidation type="list" sqref="I3:I32" xr:uid="{00000000-0002-0000-0200-000000000000}">
      <formula1>"已冻结,已完成"</formula1>
    </dataValidation>
  </dataValidations>
  <pageMargins left="0.75" right="0.75" top="1" bottom="1" header="0.5" footer="0.5"/>
  <pageSetup fitToHeigh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32"/>
  <sheetViews>
    <sheetView showGridLines="0" workbookViewId="0">
      <pane ySplit="2" topLeftCell="A3" activePane="bottomLeft" state="frozen"/>
      <selection pane="bottomLeft"/>
    </sheetView>
  </sheetViews>
  <sheetFormatPr defaultRowHeight="14"/>
  <cols>
    <col min="1" max="1" width="11" customWidth="1"/>
    <col min="2" max="2" width="48" customWidth="1"/>
    <col min="3" max="3" width="13" customWidth="1"/>
    <col min="4" max="4" width="34" customWidth="1"/>
    <col min="5" max="5" width="18" customWidth="1"/>
    <col min="6" max="6" width="32" customWidth="1"/>
    <col min="7" max="9" width="12" customWidth="1"/>
    <col min="10" max="10" width="16" customWidth="1"/>
    <col min="11" max="11" width="12" customWidth="1"/>
    <col min="12" max="12" width="13" customWidth="1"/>
    <col min="13" max="14" width="15" customWidth="1"/>
    <col min="15" max="15" width="42" customWidth="1"/>
  </cols>
  <sheetData>
    <row r="1" spans="1:15" ht="32" customHeight="1">
      <c r="A1" s="7" t="s">
        <v>251</v>
      </c>
      <c r="B1" s="8"/>
      <c r="C1" s="8"/>
      <c r="D1" s="8"/>
      <c r="E1" s="8"/>
      <c r="F1" s="8"/>
      <c r="G1" s="8"/>
      <c r="H1" s="8"/>
      <c r="I1" s="8"/>
      <c r="J1" s="8"/>
      <c r="K1" s="8"/>
      <c r="L1" s="8"/>
      <c r="M1" s="8"/>
      <c r="N1" s="8"/>
      <c r="O1" s="9"/>
    </row>
    <row r="2" spans="1:15" ht="28" customHeight="1">
      <c r="A2" s="1" t="s">
        <v>70</v>
      </c>
      <c r="B2" s="1" t="s">
        <v>75</v>
      </c>
      <c r="C2" s="1" t="s">
        <v>71</v>
      </c>
      <c r="D2" s="1" t="s">
        <v>76</v>
      </c>
      <c r="E2" s="1" t="s">
        <v>252</v>
      </c>
      <c r="F2" s="1" t="s">
        <v>253</v>
      </c>
      <c r="G2" s="1" t="s">
        <v>254</v>
      </c>
      <c r="H2" s="1" t="s">
        <v>255</v>
      </c>
      <c r="I2" s="1" t="s">
        <v>256</v>
      </c>
      <c r="J2" s="1" t="s">
        <v>257</v>
      </c>
      <c r="K2" s="1" t="s">
        <v>258</v>
      </c>
      <c r="L2" s="1" t="s">
        <v>259</v>
      </c>
      <c r="M2" s="1" t="s">
        <v>260</v>
      </c>
      <c r="N2" s="1" t="s">
        <v>261</v>
      </c>
      <c r="O2" s="1" t="s">
        <v>78</v>
      </c>
    </row>
    <row r="3" spans="1:15" ht="58" customHeight="1">
      <c r="A3" s="2" t="s">
        <v>79</v>
      </c>
      <c r="B3" s="2" t="s">
        <v>83</v>
      </c>
      <c r="C3" s="2" t="s">
        <v>11</v>
      </c>
      <c r="D3" s="2" t="s">
        <v>84</v>
      </c>
      <c r="E3" s="2" t="s">
        <v>11</v>
      </c>
      <c r="F3" s="2" t="s">
        <v>262</v>
      </c>
      <c r="G3" s="2">
        <v>1</v>
      </c>
      <c r="H3" s="2">
        <v>1</v>
      </c>
      <c r="I3" s="2">
        <v>1</v>
      </c>
      <c r="J3" s="2">
        <v>2</v>
      </c>
      <c r="K3" s="2">
        <v>0</v>
      </c>
      <c r="L3" s="2" t="s">
        <v>86</v>
      </c>
      <c r="M3" s="2">
        <f t="shared" ref="M3:M32" si="0">IF(L3&lt;&gt;"已完成","",IF(G3=1,2,IF(H3=1,1,0))+I3+J3*2-K3*2)</f>
        <v>7</v>
      </c>
      <c r="N3" s="6">
        <v>46230</v>
      </c>
      <c r="O3" s="2" t="s">
        <v>263</v>
      </c>
    </row>
    <row r="4" spans="1:15" ht="58" customHeight="1">
      <c r="A4" s="2" t="s">
        <v>88</v>
      </c>
      <c r="B4" s="2" t="s">
        <v>92</v>
      </c>
      <c r="C4" s="2" t="s">
        <v>11</v>
      </c>
      <c r="D4" s="2" t="s">
        <v>93</v>
      </c>
      <c r="E4" s="2" t="s">
        <v>11</v>
      </c>
      <c r="F4" s="2" t="s">
        <v>264</v>
      </c>
      <c r="G4" s="2">
        <v>1</v>
      </c>
      <c r="H4" s="2">
        <v>1</v>
      </c>
      <c r="I4" s="2">
        <v>1</v>
      </c>
      <c r="J4" s="2">
        <v>2</v>
      </c>
      <c r="K4" s="2">
        <v>1</v>
      </c>
      <c r="L4" s="2" t="s">
        <v>86</v>
      </c>
      <c r="M4" s="2">
        <f t="shared" si="0"/>
        <v>5</v>
      </c>
      <c r="N4" s="6">
        <v>46230</v>
      </c>
      <c r="O4" s="2" t="s">
        <v>265</v>
      </c>
    </row>
    <row r="5" spans="1:15" ht="58" customHeight="1">
      <c r="A5" s="2" t="s">
        <v>95</v>
      </c>
      <c r="B5" s="2" t="s">
        <v>98</v>
      </c>
      <c r="C5" s="2" t="s">
        <v>11</v>
      </c>
      <c r="D5" s="2" t="s">
        <v>99</v>
      </c>
      <c r="E5" s="2" t="s">
        <v>11</v>
      </c>
      <c r="F5" s="2" t="s">
        <v>266</v>
      </c>
      <c r="G5" s="2">
        <v>1</v>
      </c>
      <c r="H5" s="2">
        <v>1</v>
      </c>
      <c r="I5" s="2">
        <v>1</v>
      </c>
      <c r="J5" s="2">
        <v>2</v>
      </c>
      <c r="K5" s="2">
        <v>0</v>
      </c>
      <c r="L5" s="2" t="s">
        <v>86</v>
      </c>
      <c r="M5" s="2">
        <f t="shared" si="0"/>
        <v>7</v>
      </c>
      <c r="N5" s="6">
        <v>46230</v>
      </c>
      <c r="O5" s="2" t="s">
        <v>267</v>
      </c>
    </row>
    <row r="6" spans="1:15" ht="58" customHeight="1">
      <c r="A6" s="2" t="s">
        <v>101</v>
      </c>
      <c r="B6" s="2" t="s">
        <v>104</v>
      </c>
      <c r="C6" s="2" t="s">
        <v>11</v>
      </c>
      <c r="D6" s="2" t="s">
        <v>105</v>
      </c>
      <c r="E6" s="2" t="s">
        <v>11</v>
      </c>
      <c r="F6" s="2" t="s">
        <v>266</v>
      </c>
      <c r="G6" s="2">
        <v>1</v>
      </c>
      <c r="H6" s="2">
        <v>1</v>
      </c>
      <c r="I6" s="2">
        <v>1</v>
      </c>
      <c r="J6" s="2">
        <v>2</v>
      </c>
      <c r="K6" s="2">
        <v>0</v>
      </c>
      <c r="L6" s="2" t="s">
        <v>86</v>
      </c>
      <c r="M6" s="2">
        <f t="shared" si="0"/>
        <v>7</v>
      </c>
      <c r="N6" s="6">
        <v>46230</v>
      </c>
      <c r="O6" s="2" t="s">
        <v>268</v>
      </c>
    </row>
    <row r="7" spans="1:15" ht="58" customHeight="1">
      <c r="A7" s="2" t="s">
        <v>107</v>
      </c>
      <c r="B7" s="2" t="s">
        <v>110</v>
      </c>
      <c r="C7" s="2" t="s">
        <v>11</v>
      </c>
      <c r="D7" s="2" t="s">
        <v>111</v>
      </c>
      <c r="E7" s="2" t="s">
        <v>11</v>
      </c>
      <c r="F7" s="2" t="s">
        <v>269</v>
      </c>
      <c r="G7" s="2">
        <v>1</v>
      </c>
      <c r="H7" s="2">
        <v>1</v>
      </c>
      <c r="I7" s="2">
        <v>1</v>
      </c>
      <c r="J7" s="2">
        <v>2</v>
      </c>
      <c r="K7" s="2">
        <v>0</v>
      </c>
      <c r="L7" s="2" t="s">
        <v>86</v>
      </c>
      <c r="M7" s="2">
        <f t="shared" si="0"/>
        <v>7</v>
      </c>
      <c r="N7" s="6">
        <v>46230</v>
      </c>
      <c r="O7" s="2" t="s">
        <v>270</v>
      </c>
    </row>
    <row r="8" spans="1:15" ht="58" customHeight="1">
      <c r="A8" s="2" t="s">
        <v>113</v>
      </c>
      <c r="B8" s="2" t="s">
        <v>116</v>
      </c>
      <c r="C8" s="2" t="s">
        <v>11</v>
      </c>
      <c r="D8" s="2" t="s">
        <v>117</v>
      </c>
      <c r="E8" s="2" t="s">
        <v>11</v>
      </c>
      <c r="F8" s="2" t="s">
        <v>271</v>
      </c>
      <c r="G8" s="2">
        <v>1</v>
      </c>
      <c r="H8" s="2">
        <v>1</v>
      </c>
      <c r="I8" s="2">
        <v>1</v>
      </c>
      <c r="J8" s="2">
        <v>2</v>
      </c>
      <c r="K8" s="2">
        <v>0</v>
      </c>
      <c r="L8" s="2" t="s">
        <v>86</v>
      </c>
      <c r="M8" s="2">
        <f t="shared" si="0"/>
        <v>7</v>
      </c>
      <c r="N8" s="6">
        <v>46230</v>
      </c>
      <c r="O8" s="2" t="s">
        <v>272</v>
      </c>
    </row>
    <row r="9" spans="1:15" ht="58" customHeight="1">
      <c r="A9" s="2" t="s">
        <v>119</v>
      </c>
      <c r="B9" s="2" t="s">
        <v>122</v>
      </c>
      <c r="C9" s="2" t="s">
        <v>21</v>
      </c>
      <c r="D9" s="2" t="s">
        <v>123</v>
      </c>
      <c r="E9" s="2" t="s">
        <v>21</v>
      </c>
      <c r="F9" s="2" t="s">
        <v>273</v>
      </c>
      <c r="G9" s="2">
        <v>1</v>
      </c>
      <c r="H9" s="2">
        <v>1</v>
      </c>
      <c r="I9" s="2">
        <v>1</v>
      </c>
      <c r="J9" s="2">
        <v>2</v>
      </c>
      <c r="K9" s="2">
        <v>0</v>
      </c>
      <c r="L9" s="2" t="s">
        <v>86</v>
      </c>
      <c r="M9" s="2">
        <f t="shared" si="0"/>
        <v>7</v>
      </c>
      <c r="N9" s="6">
        <v>46230</v>
      </c>
      <c r="O9" s="2" t="s">
        <v>274</v>
      </c>
    </row>
    <row r="10" spans="1:15" ht="58" customHeight="1">
      <c r="A10" s="2" t="s">
        <v>125</v>
      </c>
      <c r="B10" s="2" t="s">
        <v>127</v>
      </c>
      <c r="C10" s="2" t="s">
        <v>21</v>
      </c>
      <c r="D10" s="2" t="s">
        <v>128</v>
      </c>
      <c r="E10" s="2" t="s">
        <v>21</v>
      </c>
      <c r="F10" s="2" t="s">
        <v>273</v>
      </c>
      <c r="G10" s="2">
        <v>1</v>
      </c>
      <c r="H10" s="2">
        <v>1</v>
      </c>
      <c r="I10" s="2">
        <v>1</v>
      </c>
      <c r="J10" s="2">
        <v>2</v>
      </c>
      <c r="K10" s="2">
        <v>0</v>
      </c>
      <c r="L10" s="2" t="s">
        <v>86</v>
      </c>
      <c r="M10" s="2">
        <f t="shared" si="0"/>
        <v>7</v>
      </c>
      <c r="N10" s="6">
        <v>46230</v>
      </c>
      <c r="O10" s="2" t="s">
        <v>275</v>
      </c>
    </row>
    <row r="11" spans="1:15" ht="58" customHeight="1">
      <c r="A11" s="2" t="s">
        <v>130</v>
      </c>
      <c r="B11" s="2" t="s">
        <v>133</v>
      </c>
      <c r="C11" s="2" t="s">
        <v>21</v>
      </c>
      <c r="D11" s="2" t="s">
        <v>134</v>
      </c>
      <c r="E11" s="2" t="s">
        <v>21</v>
      </c>
      <c r="F11" s="2" t="s">
        <v>273</v>
      </c>
      <c r="G11" s="2">
        <v>1</v>
      </c>
      <c r="H11" s="2">
        <v>1</v>
      </c>
      <c r="I11" s="2">
        <v>1</v>
      </c>
      <c r="J11" s="2">
        <v>2</v>
      </c>
      <c r="K11" s="2">
        <v>0</v>
      </c>
      <c r="L11" s="2" t="s">
        <v>86</v>
      </c>
      <c r="M11" s="2">
        <f t="shared" si="0"/>
        <v>7</v>
      </c>
      <c r="N11" s="6">
        <v>46230</v>
      </c>
      <c r="O11" s="2" t="s">
        <v>276</v>
      </c>
    </row>
    <row r="12" spans="1:15" ht="58" customHeight="1">
      <c r="A12" s="2" t="s">
        <v>136</v>
      </c>
      <c r="B12" s="2" t="s">
        <v>139</v>
      </c>
      <c r="C12" s="2" t="s">
        <v>21</v>
      </c>
      <c r="D12" s="2" t="s">
        <v>140</v>
      </c>
      <c r="E12" s="2" t="s">
        <v>21</v>
      </c>
      <c r="F12" s="2" t="s">
        <v>277</v>
      </c>
      <c r="G12" s="2">
        <v>1</v>
      </c>
      <c r="H12" s="2">
        <v>1</v>
      </c>
      <c r="I12" s="2">
        <v>1</v>
      </c>
      <c r="J12" s="2">
        <v>2</v>
      </c>
      <c r="K12" s="2">
        <v>0</v>
      </c>
      <c r="L12" s="2" t="s">
        <v>86</v>
      </c>
      <c r="M12" s="2">
        <f t="shared" si="0"/>
        <v>7</v>
      </c>
      <c r="N12" s="6">
        <v>46230</v>
      </c>
      <c r="O12" s="2" t="s">
        <v>278</v>
      </c>
    </row>
    <row r="13" spans="1:15" ht="58" customHeight="1">
      <c r="A13" s="2" t="s">
        <v>142</v>
      </c>
      <c r="B13" s="2" t="s">
        <v>144</v>
      </c>
      <c r="C13" s="2" t="s">
        <v>21</v>
      </c>
      <c r="D13" s="2" t="s">
        <v>145</v>
      </c>
      <c r="E13" s="2" t="s">
        <v>21</v>
      </c>
      <c r="F13" s="2" t="s">
        <v>279</v>
      </c>
      <c r="G13" s="2">
        <v>1</v>
      </c>
      <c r="H13" s="2">
        <v>1</v>
      </c>
      <c r="I13" s="2">
        <v>1</v>
      </c>
      <c r="J13" s="2">
        <v>2</v>
      </c>
      <c r="K13" s="2">
        <v>0</v>
      </c>
      <c r="L13" s="2" t="s">
        <v>86</v>
      </c>
      <c r="M13" s="2">
        <f t="shared" si="0"/>
        <v>7</v>
      </c>
      <c r="N13" s="6">
        <v>46230</v>
      </c>
      <c r="O13" s="2" t="s">
        <v>280</v>
      </c>
    </row>
    <row r="14" spans="1:15" ht="58" customHeight="1">
      <c r="A14" s="2" t="s">
        <v>147</v>
      </c>
      <c r="B14" s="2" t="s">
        <v>150</v>
      </c>
      <c r="C14" s="2" t="s">
        <v>21</v>
      </c>
      <c r="D14" s="2" t="s">
        <v>151</v>
      </c>
      <c r="E14" s="2" t="s">
        <v>21</v>
      </c>
      <c r="F14" s="2" t="s">
        <v>281</v>
      </c>
      <c r="G14" s="2">
        <v>1</v>
      </c>
      <c r="H14" s="2">
        <v>1</v>
      </c>
      <c r="I14" s="2">
        <v>1</v>
      </c>
      <c r="J14" s="2">
        <v>2</v>
      </c>
      <c r="K14" s="2">
        <v>0</v>
      </c>
      <c r="L14" s="2" t="s">
        <v>86</v>
      </c>
      <c r="M14" s="2">
        <f t="shared" si="0"/>
        <v>7</v>
      </c>
      <c r="N14" s="6">
        <v>46230</v>
      </c>
      <c r="O14" s="2" t="s">
        <v>280</v>
      </c>
    </row>
    <row r="15" spans="1:15" ht="58" customHeight="1">
      <c r="A15" s="2" t="s">
        <v>153</v>
      </c>
      <c r="B15" s="2" t="s">
        <v>156</v>
      </c>
      <c r="C15" s="2" t="s">
        <v>27</v>
      </c>
      <c r="D15" s="2" t="s">
        <v>157</v>
      </c>
      <c r="E15" s="2" t="s">
        <v>27</v>
      </c>
      <c r="F15" s="2" t="s">
        <v>282</v>
      </c>
      <c r="G15" s="2">
        <v>1</v>
      </c>
      <c r="H15" s="2">
        <v>1</v>
      </c>
      <c r="I15" s="2">
        <v>1</v>
      </c>
      <c r="J15" s="2">
        <v>2</v>
      </c>
      <c r="K15" s="2">
        <v>0</v>
      </c>
      <c r="L15" s="2" t="s">
        <v>86</v>
      </c>
      <c r="M15" s="2">
        <f t="shared" si="0"/>
        <v>7</v>
      </c>
      <c r="N15" s="6">
        <v>46230</v>
      </c>
      <c r="O15" s="2" t="s">
        <v>283</v>
      </c>
    </row>
    <row r="16" spans="1:15" ht="58" customHeight="1">
      <c r="A16" s="2" t="s">
        <v>159</v>
      </c>
      <c r="B16" s="2" t="s">
        <v>162</v>
      </c>
      <c r="C16" s="2" t="s">
        <v>27</v>
      </c>
      <c r="D16" s="2" t="s">
        <v>163</v>
      </c>
      <c r="E16" s="2" t="s">
        <v>33</v>
      </c>
      <c r="F16" s="2" t="s">
        <v>284</v>
      </c>
      <c r="G16" s="2">
        <v>0</v>
      </c>
      <c r="H16" s="2">
        <v>0</v>
      </c>
      <c r="I16" s="2">
        <v>1</v>
      </c>
      <c r="J16" s="2">
        <v>1</v>
      </c>
      <c r="K16" s="2">
        <v>0</v>
      </c>
      <c r="L16" s="2" t="s">
        <v>86</v>
      </c>
      <c r="M16" s="2">
        <f t="shared" si="0"/>
        <v>3</v>
      </c>
      <c r="N16" s="6">
        <v>46230</v>
      </c>
      <c r="O16" s="2" t="s">
        <v>285</v>
      </c>
    </row>
    <row r="17" spans="1:15" ht="58" customHeight="1">
      <c r="A17" s="2" t="s">
        <v>165</v>
      </c>
      <c r="B17" s="2" t="s">
        <v>167</v>
      </c>
      <c r="C17" s="2" t="s">
        <v>27</v>
      </c>
      <c r="D17" s="2" t="s">
        <v>168</v>
      </c>
      <c r="E17" s="2" t="s">
        <v>33</v>
      </c>
      <c r="F17" s="2" t="s">
        <v>286</v>
      </c>
      <c r="G17" s="2">
        <v>0</v>
      </c>
      <c r="H17" s="2">
        <v>1</v>
      </c>
      <c r="I17" s="2">
        <v>1</v>
      </c>
      <c r="J17" s="2">
        <v>2</v>
      </c>
      <c r="K17" s="2">
        <v>0</v>
      </c>
      <c r="L17" s="2" t="s">
        <v>86</v>
      </c>
      <c r="M17" s="2">
        <f t="shared" si="0"/>
        <v>6</v>
      </c>
      <c r="N17" s="6">
        <v>46230</v>
      </c>
      <c r="O17" s="2" t="s">
        <v>287</v>
      </c>
    </row>
    <row r="18" spans="1:15" ht="58" customHeight="1">
      <c r="A18" s="2" t="s">
        <v>170</v>
      </c>
      <c r="B18" s="2" t="s">
        <v>173</v>
      </c>
      <c r="C18" s="2" t="s">
        <v>27</v>
      </c>
      <c r="D18" s="2" t="s">
        <v>174</v>
      </c>
      <c r="E18" s="2" t="s">
        <v>27</v>
      </c>
      <c r="F18" s="2" t="s">
        <v>288</v>
      </c>
      <c r="G18" s="2">
        <v>1</v>
      </c>
      <c r="H18" s="2">
        <v>1</v>
      </c>
      <c r="I18" s="2">
        <v>1</v>
      </c>
      <c r="J18" s="2">
        <v>2</v>
      </c>
      <c r="K18" s="2">
        <v>0</v>
      </c>
      <c r="L18" s="2" t="s">
        <v>86</v>
      </c>
      <c r="M18" s="2">
        <f t="shared" si="0"/>
        <v>7</v>
      </c>
      <c r="N18" s="6">
        <v>46230</v>
      </c>
      <c r="O18" s="2" t="s">
        <v>289</v>
      </c>
    </row>
    <row r="19" spans="1:15" ht="58" customHeight="1">
      <c r="A19" s="2" t="s">
        <v>176</v>
      </c>
      <c r="B19" s="2" t="s">
        <v>178</v>
      </c>
      <c r="C19" s="2" t="s">
        <v>27</v>
      </c>
      <c r="D19" s="2" t="s">
        <v>179</v>
      </c>
      <c r="E19" s="2" t="s">
        <v>33</v>
      </c>
      <c r="F19" s="2" t="s">
        <v>290</v>
      </c>
      <c r="G19" s="2">
        <v>0</v>
      </c>
      <c r="H19" s="2">
        <v>1</v>
      </c>
      <c r="I19" s="2">
        <v>1</v>
      </c>
      <c r="J19" s="2">
        <v>2</v>
      </c>
      <c r="K19" s="2">
        <v>0</v>
      </c>
      <c r="L19" s="2" t="s">
        <v>86</v>
      </c>
      <c r="M19" s="2">
        <f t="shared" si="0"/>
        <v>6</v>
      </c>
      <c r="N19" s="6">
        <v>46230</v>
      </c>
      <c r="O19" s="2" t="s">
        <v>291</v>
      </c>
    </row>
    <row r="20" spans="1:15" ht="58" customHeight="1">
      <c r="A20" s="2" t="s">
        <v>181</v>
      </c>
      <c r="B20" s="2" t="s">
        <v>183</v>
      </c>
      <c r="C20" s="2" t="s">
        <v>27</v>
      </c>
      <c r="D20" s="2" t="s">
        <v>184</v>
      </c>
      <c r="E20" s="2" t="s">
        <v>27</v>
      </c>
      <c r="F20" s="2" t="s">
        <v>292</v>
      </c>
      <c r="G20" s="2">
        <v>1</v>
      </c>
      <c r="H20" s="2">
        <v>1</v>
      </c>
      <c r="I20" s="2">
        <v>1</v>
      </c>
      <c r="J20" s="2">
        <v>2</v>
      </c>
      <c r="K20" s="2">
        <v>0</v>
      </c>
      <c r="L20" s="2" t="s">
        <v>86</v>
      </c>
      <c r="M20" s="2">
        <f t="shared" si="0"/>
        <v>7</v>
      </c>
      <c r="N20" s="6">
        <v>46230</v>
      </c>
      <c r="O20" s="2" t="s">
        <v>293</v>
      </c>
    </row>
    <row r="21" spans="1:15" ht="58" customHeight="1">
      <c r="A21" s="2" t="s">
        <v>186</v>
      </c>
      <c r="B21" s="2" t="s">
        <v>190</v>
      </c>
      <c r="C21" s="2" t="s">
        <v>33</v>
      </c>
      <c r="D21" s="2" t="s">
        <v>191</v>
      </c>
      <c r="E21" s="2" t="s">
        <v>33</v>
      </c>
      <c r="F21" s="2" t="s">
        <v>294</v>
      </c>
      <c r="G21" s="2">
        <v>1</v>
      </c>
      <c r="H21" s="2">
        <v>1</v>
      </c>
      <c r="I21" s="2">
        <v>1</v>
      </c>
      <c r="J21" s="2">
        <v>2</v>
      </c>
      <c r="K21" s="2">
        <v>0</v>
      </c>
      <c r="L21" s="2" t="s">
        <v>86</v>
      </c>
      <c r="M21" s="2">
        <f t="shared" si="0"/>
        <v>7</v>
      </c>
      <c r="N21" s="6">
        <v>46230</v>
      </c>
      <c r="O21" s="2" t="s">
        <v>295</v>
      </c>
    </row>
    <row r="22" spans="1:15" ht="58" customHeight="1">
      <c r="A22" s="2" t="s">
        <v>193</v>
      </c>
      <c r="B22" s="2" t="s">
        <v>195</v>
      </c>
      <c r="C22" s="2" t="s">
        <v>33</v>
      </c>
      <c r="D22" s="2" t="s">
        <v>196</v>
      </c>
      <c r="E22" s="2" t="s">
        <v>33</v>
      </c>
      <c r="F22" s="2" t="s">
        <v>296</v>
      </c>
      <c r="G22" s="2">
        <v>1</v>
      </c>
      <c r="H22" s="2">
        <v>1</v>
      </c>
      <c r="I22" s="2">
        <v>1</v>
      </c>
      <c r="J22" s="2">
        <v>2</v>
      </c>
      <c r="K22" s="2">
        <v>0</v>
      </c>
      <c r="L22" s="2" t="s">
        <v>86</v>
      </c>
      <c r="M22" s="2">
        <f t="shared" si="0"/>
        <v>7</v>
      </c>
      <c r="N22" s="6">
        <v>46230</v>
      </c>
      <c r="O22" s="2" t="s">
        <v>297</v>
      </c>
    </row>
    <row r="23" spans="1:15" ht="58" customHeight="1">
      <c r="A23" s="2" t="s">
        <v>198</v>
      </c>
      <c r="B23" s="2" t="s">
        <v>200</v>
      </c>
      <c r="C23" s="2" t="s">
        <v>33</v>
      </c>
      <c r="D23" s="2" t="s">
        <v>201</v>
      </c>
      <c r="E23" s="2" t="s">
        <v>33</v>
      </c>
      <c r="F23" s="2" t="s">
        <v>298</v>
      </c>
      <c r="G23" s="2">
        <v>1</v>
      </c>
      <c r="H23" s="2">
        <v>1</v>
      </c>
      <c r="I23" s="2">
        <v>1</v>
      </c>
      <c r="J23" s="2">
        <v>1</v>
      </c>
      <c r="K23" s="2">
        <v>0</v>
      </c>
      <c r="L23" s="2" t="s">
        <v>86</v>
      </c>
      <c r="M23" s="2">
        <f t="shared" si="0"/>
        <v>5</v>
      </c>
      <c r="N23" s="6">
        <v>46230</v>
      </c>
      <c r="O23" s="2" t="s">
        <v>299</v>
      </c>
    </row>
    <row r="24" spans="1:15" ht="58" customHeight="1">
      <c r="A24" s="2" t="s">
        <v>203</v>
      </c>
      <c r="B24" s="2" t="s">
        <v>205</v>
      </c>
      <c r="C24" s="2" t="s">
        <v>33</v>
      </c>
      <c r="D24" s="2" t="s">
        <v>206</v>
      </c>
      <c r="E24" s="2" t="s">
        <v>33</v>
      </c>
      <c r="F24" s="2" t="s">
        <v>300</v>
      </c>
      <c r="G24" s="2">
        <v>1</v>
      </c>
      <c r="H24" s="2">
        <v>1</v>
      </c>
      <c r="I24" s="2">
        <v>1</v>
      </c>
      <c r="J24" s="2">
        <v>2</v>
      </c>
      <c r="K24" s="2">
        <v>0</v>
      </c>
      <c r="L24" s="2" t="s">
        <v>86</v>
      </c>
      <c r="M24" s="2">
        <f t="shared" si="0"/>
        <v>7</v>
      </c>
      <c r="N24" s="6">
        <v>46230</v>
      </c>
      <c r="O24" s="2" t="s">
        <v>280</v>
      </c>
    </row>
    <row r="25" spans="1:15" ht="58" customHeight="1">
      <c r="A25" s="2" t="s">
        <v>208</v>
      </c>
      <c r="B25" s="2" t="s">
        <v>210</v>
      </c>
      <c r="C25" s="2" t="s">
        <v>33</v>
      </c>
      <c r="D25" s="2" t="s">
        <v>211</v>
      </c>
      <c r="E25" s="2" t="s">
        <v>33</v>
      </c>
      <c r="F25" s="2" t="s">
        <v>290</v>
      </c>
      <c r="G25" s="2">
        <v>1</v>
      </c>
      <c r="H25" s="2">
        <v>1</v>
      </c>
      <c r="I25" s="2">
        <v>1</v>
      </c>
      <c r="J25" s="2">
        <v>2</v>
      </c>
      <c r="K25" s="2">
        <v>0</v>
      </c>
      <c r="L25" s="2" t="s">
        <v>86</v>
      </c>
      <c r="M25" s="2">
        <f t="shared" si="0"/>
        <v>7</v>
      </c>
      <c r="N25" s="6">
        <v>46230</v>
      </c>
      <c r="O25" s="2" t="s">
        <v>301</v>
      </c>
    </row>
    <row r="26" spans="1:15" ht="58" customHeight="1">
      <c r="A26" s="2" t="s">
        <v>213</v>
      </c>
      <c r="B26" s="2" t="s">
        <v>215</v>
      </c>
      <c r="C26" s="2" t="s">
        <v>33</v>
      </c>
      <c r="D26" s="2" t="s">
        <v>216</v>
      </c>
      <c r="E26" s="2" t="s">
        <v>33</v>
      </c>
      <c r="F26" s="2" t="s">
        <v>302</v>
      </c>
      <c r="G26" s="2">
        <v>1</v>
      </c>
      <c r="H26" s="2">
        <v>1</v>
      </c>
      <c r="I26" s="2">
        <v>1</v>
      </c>
      <c r="J26" s="2">
        <v>2</v>
      </c>
      <c r="K26" s="2">
        <v>0</v>
      </c>
      <c r="L26" s="2" t="s">
        <v>86</v>
      </c>
      <c r="M26" s="2">
        <f t="shared" si="0"/>
        <v>7</v>
      </c>
      <c r="N26" s="6">
        <v>46230</v>
      </c>
      <c r="O26" s="2" t="s">
        <v>280</v>
      </c>
    </row>
    <row r="27" spans="1:15" ht="58" customHeight="1">
      <c r="A27" s="2" t="s">
        <v>218</v>
      </c>
      <c r="B27" s="2" t="s">
        <v>221</v>
      </c>
      <c r="C27" s="2" t="s">
        <v>42</v>
      </c>
      <c r="D27" s="2" t="s">
        <v>222</v>
      </c>
      <c r="E27" s="2" t="s">
        <v>42</v>
      </c>
      <c r="F27" s="2" t="s">
        <v>303</v>
      </c>
      <c r="G27" s="2">
        <v>1</v>
      </c>
      <c r="H27" s="2">
        <v>1</v>
      </c>
      <c r="I27" s="2">
        <v>1</v>
      </c>
      <c r="J27" s="2">
        <v>1</v>
      </c>
      <c r="K27" s="2">
        <v>0</v>
      </c>
      <c r="L27" s="2" t="s">
        <v>86</v>
      </c>
      <c r="M27" s="2">
        <f t="shared" si="0"/>
        <v>5</v>
      </c>
      <c r="N27" s="6">
        <v>46230</v>
      </c>
      <c r="O27" s="2" t="s">
        <v>304</v>
      </c>
    </row>
    <row r="28" spans="1:15" ht="58" customHeight="1">
      <c r="A28" s="2" t="s">
        <v>224</v>
      </c>
      <c r="B28" s="2" t="s">
        <v>226</v>
      </c>
      <c r="C28" s="2" t="s">
        <v>42</v>
      </c>
      <c r="D28" s="2" t="s">
        <v>227</v>
      </c>
      <c r="E28" s="2" t="s">
        <v>42</v>
      </c>
      <c r="F28" s="2" t="s">
        <v>305</v>
      </c>
      <c r="G28" s="2">
        <v>1</v>
      </c>
      <c r="H28" s="2">
        <v>1</v>
      </c>
      <c r="I28" s="2">
        <v>1</v>
      </c>
      <c r="J28" s="2">
        <v>2</v>
      </c>
      <c r="K28" s="2">
        <v>0</v>
      </c>
      <c r="L28" s="2" t="s">
        <v>86</v>
      </c>
      <c r="M28" s="2">
        <f t="shared" si="0"/>
        <v>7</v>
      </c>
      <c r="N28" s="6">
        <v>46230</v>
      </c>
      <c r="O28" s="2" t="s">
        <v>306</v>
      </c>
    </row>
    <row r="29" spans="1:15" ht="58" customHeight="1">
      <c r="A29" s="2" t="s">
        <v>229</v>
      </c>
      <c r="B29" s="2" t="s">
        <v>232</v>
      </c>
      <c r="C29" s="2" t="s">
        <v>42</v>
      </c>
      <c r="D29" s="2" t="s">
        <v>233</v>
      </c>
      <c r="E29" s="2" t="s">
        <v>42</v>
      </c>
      <c r="F29" s="2" t="s">
        <v>307</v>
      </c>
      <c r="G29" s="2">
        <v>1</v>
      </c>
      <c r="H29" s="2">
        <v>1</v>
      </c>
      <c r="I29" s="2">
        <v>1</v>
      </c>
      <c r="J29" s="2">
        <v>2</v>
      </c>
      <c r="K29" s="2">
        <v>0</v>
      </c>
      <c r="L29" s="2" t="s">
        <v>86</v>
      </c>
      <c r="M29" s="2">
        <f t="shared" si="0"/>
        <v>7</v>
      </c>
      <c r="N29" s="6">
        <v>46230</v>
      </c>
      <c r="O29" s="2" t="s">
        <v>280</v>
      </c>
    </row>
    <row r="30" spans="1:15" ht="58" customHeight="1">
      <c r="A30" s="2" t="s">
        <v>235</v>
      </c>
      <c r="B30" s="2" t="s">
        <v>237</v>
      </c>
      <c r="C30" s="2" t="s">
        <v>42</v>
      </c>
      <c r="D30" s="2" t="s">
        <v>238</v>
      </c>
      <c r="E30" s="2" t="s">
        <v>42</v>
      </c>
      <c r="F30" s="2" t="s">
        <v>308</v>
      </c>
      <c r="G30" s="2">
        <v>1</v>
      </c>
      <c r="H30" s="2">
        <v>1</v>
      </c>
      <c r="I30" s="2">
        <v>1</v>
      </c>
      <c r="J30" s="2">
        <v>2</v>
      </c>
      <c r="K30" s="2">
        <v>0</v>
      </c>
      <c r="L30" s="2" t="s">
        <v>86</v>
      </c>
      <c r="M30" s="2">
        <f t="shared" si="0"/>
        <v>7</v>
      </c>
      <c r="N30" s="6">
        <v>46230</v>
      </c>
      <c r="O30" s="2" t="s">
        <v>309</v>
      </c>
    </row>
    <row r="31" spans="1:15" ht="58" customHeight="1">
      <c r="A31" s="2" t="s">
        <v>240</v>
      </c>
      <c r="B31" s="2" t="s">
        <v>243</v>
      </c>
      <c r="C31" s="2" t="s">
        <v>42</v>
      </c>
      <c r="D31" s="2" t="s">
        <v>244</v>
      </c>
      <c r="E31" s="2" t="s">
        <v>42</v>
      </c>
      <c r="F31" s="2" t="s">
        <v>310</v>
      </c>
      <c r="G31" s="2">
        <v>1</v>
      </c>
      <c r="H31" s="2">
        <v>1</v>
      </c>
      <c r="I31" s="2">
        <v>1</v>
      </c>
      <c r="J31" s="2">
        <v>2</v>
      </c>
      <c r="K31" s="2">
        <v>0</v>
      </c>
      <c r="L31" s="2" t="s">
        <v>86</v>
      </c>
      <c r="M31" s="2">
        <f t="shared" si="0"/>
        <v>7</v>
      </c>
      <c r="N31" s="6">
        <v>46230</v>
      </c>
      <c r="O31" s="2" t="s">
        <v>311</v>
      </c>
    </row>
    <row r="32" spans="1:15" ht="58" customHeight="1">
      <c r="A32" s="2" t="s">
        <v>246</v>
      </c>
      <c r="B32" s="2" t="s">
        <v>248</v>
      </c>
      <c r="C32" s="2" t="s">
        <v>42</v>
      </c>
      <c r="D32" s="2" t="s">
        <v>249</v>
      </c>
      <c r="E32" s="2" t="s">
        <v>42</v>
      </c>
      <c r="F32" s="2" t="s">
        <v>312</v>
      </c>
      <c r="G32" s="2">
        <v>1</v>
      </c>
      <c r="H32" s="2">
        <v>1</v>
      </c>
      <c r="I32" s="2">
        <v>1</v>
      </c>
      <c r="J32" s="2">
        <v>2</v>
      </c>
      <c r="K32" s="2">
        <v>0</v>
      </c>
      <c r="L32" s="2" t="s">
        <v>86</v>
      </c>
      <c r="M32" s="2">
        <f t="shared" si="0"/>
        <v>7</v>
      </c>
      <c r="N32" s="6">
        <v>46230</v>
      </c>
      <c r="O32" s="2" t="s">
        <v>313</v>
      </c>
    </row>
  </sheetData>
  <autoFilter ref="A2:O32" xr:uid="{00000000-0009-0000-0000-000003000000}"/>
  <mergeCells count="1">
    <mergeCell ref="A1:O1"/>
  </mergeCells>
  <phoneticPr fontId="6" type="noConversion"/>
  <conditionalFormatting sqref="L3:L32">
    <cfRule type="expression" dxfId="0" priority="1">
      <formula>$L3="已完成"</formula>
    </cfRule>
  </conditionalFormatting>
  <dataValidations count="3">
    <dataValidation type="whole" allowBlank="1" sqref="G3:I32 K3:K32" xr:uid="{00000000-0002-0000-0300-000000000000}">
      <formula1>0</formula1>
      <formula2>1</formula2>
    </dataValidation>
    <dataValidation type="whole" allowBlank="1" sqref="J3:J32" xr:uid="{00000000-0002-0000-0300-000001000000}">
      <formula1>0</formula1>
      <formula2>2</formula2>
    </dataValidation>
    <dataValidation type="list" sqref="L3:L32" xr:uid="{00000000-0002-0000-0300-000002000000}">
      <formula1>"待测试,测试中,已完成,需复测"</formula1>
    </dataValidation>
  </dataValidations>
  <pageMargins left="0.75" right="0.75" top="1" bottom="1" header="0.5" footer="0.5"/>
  <pageSetup fitToHeight="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25"/>
  <sheetViews>
    <sheetView showGridLines="0" workbookViewId="0">
      <pane ySplit="5" topLeftCell="A6" activePane="bottomLeft" state="frozen"/>
      <selection pane="bottomLeft"/>
    </sheetView>
  </sheetViews>
  <sheetFormatPr defaultRowHeight="14"/>
  <cols>
    <col min="1" max="2" width="18" customWidth="1"/>
    <col min="3" max="3" width="10" customWidth="1"/>
    <col min="4" max="4" width="18" customWidth="1"/>
    <col min="5" max="5" width="16" customWidth="1"/>
    <col min="6" max="8" width="18" customWidth="1"/>
  </cols>
  <sheetData>
    <row r="1" spans="1:8" ht="25" customHeight="1">
      <c r="A1" s="7" t="s">
        <v>314</v>
      </c>
      <c r="B1" s="8"/>
      <c r="C1" s="8"/>
      <c r="D1" s="8"/>
      <c r="E1" s="8"/>
      <c r="F1" s="8"/>
      <c r="G1" s="8"/>
      <c r="H1" s="9"/>
    </row>
    <row r="2" spans="1:8" ht="25" customHeight="1">
      <c r="A2" s="2"/>
      <c r="B2" s="2"/>
      <c r="C2" s="2"/>
      <c r="D2" s="2"/>
      <c r="E2" s="2"/>
      <c r="F2" s="2"/>
      <c r="G2" s="2"/>
      <c r="H2" s="2"/>
    </row>
    <row r="3" spans="1:8" ht="34" customHeight="1">
      <c r="A3" s="14" t="s">
        <v>315</v>
      </c>
      <c r="B3" s="15"/>
      <c r="C3" s="15"/>
      <c r="D3" s="15"/>
      <c r="E3" s="15"/>
      <c r="F3" s="15"/>
      <c r="G3" s="15"/>
      <c r="H3" s="16"/>
    </row>
    <row r="4" spans="1:8" ht="25" customHeight="1">
      <c r="A4" s="17"/>
      <c r="B4" s="18"/>
      <c r="C4" s="18"/>
      <c r="D4" s="18"/>
      <c r="E4" s="18"/>
      <c r="F4" s="18"/>
      <c r="G4" s="18"/>
      <c r="H4" s="19"/>
    </row>
    <row r="5" spans="1:8" ht="25" customHeight="1">
      <c r="A5" s="2"/>
      <c r="B5" s="2"/>
      <c r="C5" s="2"/>
      <c r="D5" s="2"/>
      <c r="E5" s="2"/>
      <c r="F5" s="2"/>
      <c r="G5" s="2"/>
      <c r="H5" s="2"/>
    </row>
    <row r="6" spans="1:8" ht="25" customHeight="1">
      <c r="A6" s="5" t="s">
        <v>316</v>
      </c>
      <c r="B6" s="5">
        <f>COUNTA(评测题集!A3:A32)</f>
        <v>30</v>
      </c>
      <c r="C6" s="2"/>
      <c r="D6" s="5" t="s">
        <v>86</v>
      </c>
      <c r="E6" s="5">
        <f>COUNTIF(评测记录!L3:L32,"已完成")</f>
        <v>30</v>
      </c>
      <c r="F6" s="2"/>
      <c r="G6" s="5" t="s">
        <v>317</v>
      </c>
      <c r="H6" s="5">
        <f>IFERROR(E6/B6,0)</f>
        <v>1</v>
      </c>
    </row>
    <row r="7" spans="1:8" ht="25" customHeight="1">
      <c r="A7" s="2"/>
      <c r="B7" s="2"/>
      <c r="C7" s="2"/>
      <c r="D7" s="2"/>
      <c r="E7" s="2"/>
      <c r="F7" s="2"/>
      <c r="G7" s="2"/>
      <c r="H7" s="2"/>
    </row>
    <row r="8" spans="1:8" ht="25" customHeight="1">
      <c r="A8" s="2"/>
      <c r="B8" s="2"/>
      <c r="C8" s="2"/>
      <c r="D8" s="2"/>
      <c r="E8" s="2"/>
      <c r="F8" s="2"/>
      <c r="G8" s="2"/>
      <c r="H8" s="2"/>
    </row>
    <row r="9" spans="1:8" ht="25" customHeight="1">
      <c r="A9" s="5" t="s">
        <v>318</v>
      </c>
      <c r="B9" s="5">
        <f>IFERROR(SUM(评测记录!G3:G32)/E6,0)</f>
        <v>0.9</v>
      </c>
      <c r="C9" s="2"/>
      <c r="D9" s="5" t="s">
        <v>319</v>
      </c>
      <c r="E9" s="5">
        <f>IFERROR(SUM(评测记录!H3:H32)/E6,0)</f>
        <v>0.96666666666666667</v>
      </c>
      <c r="F9" s="2"/>
      <c r="G9" s="5" t="s">
        <v>320</v>
      </c>
      <c r="H9" s="5">
        <f>IFERROR(SUM(评测记录!I3:I32)/E6,0)</f>
        <v>1</v>
      </c>
    </row>
    <row r="10" spans="1:8" ht="25" customHeight="1">
      <c r="A10" s="2"/>
      <c r="B10" s="2"/>
      <c r="C10" s="2"/>
      <c r="D10" s="2"/>
      <c r="E10" s="2"/>
      <c r="F10" s="2"/>
      <c r="G10" s="2"/>
      <c r="H10" s="2"/>
    </row>
    <row r="11" spans="1:8" ht="25" customHeight="1">
      <c r="A11" s="2"/>
      <c r="B11" s="2"/>
      <c r="C11" s="2"/>
      <c r="D11" s="2"/>
      <c r="E11" s="2"/>
      <c r="F11" s="2"/>
      <c r="G11" s="2"/>
      <c r="H11" s="2"/>
    </row>
    <row r="12" spans="1:8" ht="25" customHeight="1">
      <c r="A12" s="5" t="s">
        <v>321</v>
      </c>
      <c r="B12" s="5">
        <f>IFERROR(SUM(评测记录!J3:J32)/(E6*2),0)</f>
        <v>0.95</v>
      </c>
      <c r="C12" s="2"/>
      <c r="D12" s="5" t="s">
        <v>322</v>
      </c>
      <c r="E12" s="5">
        <f>IFERROR(SUM(评测记录!K3:K32)/E6,0)</f>
        <v>3.3333333333333333E-2</v>
      </c>
      <c r="F12" s="2"/>
      <c r="G12" s="5" t="s">
        <v>323</v>
      </c>
      <c r="H12" s="5">
        <f>IFERROR(AVERAGEIF(评测记录!L3:L32,"已完成",评测记录!M3:M32),0)</f>
        <v>6.6</v>
      </c>
    </row>
    <row r="13" spans="1:8" ht="25" customHeight="1">
      <c r="A13" s="2"/>
      <c r="B13" s="2"/>
      <c r="C13" s="2"/>
      <c r="D13" s="2"/>
      <c r="E13" s="2"/>
      <c r="F13" s="2"/>
      <c r="G13" s="2"/>
      <c r="H13" s="2"/>
    </row>
    <row r="14" spans="1:8" ht="25" customHeight="1">
      <c r="A14" s="2"/>
      <c r="B14" s="2"/>
      <c r="C14" s="2"/>
      <c r="D14" s="2"/>
      <c r="E14" s="2"/>
      <c r="F14" s="2"/>
      <c r="G14" s="2"/>
      <c r="H14" s="2"/>
    </row>
    <row r="15" spans="1:8" ht="25" customHeight="1">
      <c r="A15" s="2"/>
      <c r="B15" s="2"/>
      <c r="C15" s="2"/>
      <c r="D15" s="2"/>
      <c r="E15" s="2"/>
      <c r="F15" s="2"/>
      <c r="G15" s="2"/>
      <c r="H15" s="2"/>
    </row>
    <row r="16" spans="1:8" ht="25" customHeight="1">
      <c r="A16" s="2" t="s">
        <v>1</v>
      </c>
      <c r="B16" s="2" t="s">
        <v>324</v>
      </c>
      <c r="C16" s="2" t="s">
        <v>86</v>
      </c>
      <c r="D16" s="2" t="s">
        <v>325</v>
      </c>
      <c r="E16" s="2" t="s">
        <v>326</v>
      </c>
      <c r="F16" s="2" t="s">
        <v>323</v>
      </c>
      <c r="G16" s="2"/>
      <c r="H16" s="2"/>
    </row>
    <row r="17" spans="1:8" ht="25" customHeight="1">
      <c r="A17" s="5" t="s">
        <v>11</v>
      </c>
      <c r="B17" s="5">
        <f>COUNTIF(评测题集!B3:B32,A17)</f>
        <v>6</v>
      </c>
      <c r="C17" s="5">
        <f>COUNTIFS(评测记录!C3:C32,A17,评测记录!L3:L32,"已完成")</f>
        <v>6</v>
      </c>
      <c r="D17" s="5">
        <f>IFERROR(SUMIFS(评测记录!G3:G32,评测记录!C3:C32,A17,评测记录!L3:L32,"已完成")/C17,0)</f>
        <v>1</v>
      </c>
      <c r="E17" s="5">
        <f>IFERROR(SUMIFS(评测记录!H3:H32,评测记录!C3:C32,A17,评测记录!L3:L32,"已完成")/C17,0)</f>
        <v>1</v>
      </c>
      <c r="F17" s="5">
        <f>IFERROR(AVERAGEIFS(评测记录!M3:M32,评测记录!C3:C32,A17,评测记录!L3:L32,"已完成"),0)</f>
        <v>6.666666666666667</v>
      </c>
      <c r="G17" s="2"/>
      <c r="H17" s="2"/>
    </row>
    <row r="18" spans="1:8" ht="25" customHeight="1">
      <c r="A18" s="2" t="s">
        <v>21</v>
      </c>
      <c r="B18" s="2">
        <f>COUNTIF(评测题集!B3:B32,A18)</f>
        <v>6</v>
      </c>
      <c r="C18" s="2">
        <f>COUNTIFS(评测记录!C3:C32,A18,评测记录!L3:L32,"已完成")</f>
        <v>6</v>
      </c>
      <c r="D18" s="2">
        <f>IFERROR(SUMIFS(评测记录!G3:G32,评测记录!C3:C32,A18,评测记录!L3:L32,"已完成")/C18,0)</f>
        <v>1</v>
      </c>
      <c r="E18" s="2">
        <f>IFERROR(SUMIFS(评测记录!H3:H32,评测记录!C3:C32,A18,评测记录!L3:L32,"已完成")/C18,0)</f>
        <v>1</v>
      </c>
      <c r="F18" s="2">
        <f>IFERROR(AVERAGEIFS(评测记录!M3:M32,评测记录!C3:C32,A18,评测记录!L3:L32,"已完成"),0)</f>
        <v>7</v>
      </c>
      <c r="G18" s="2"/>
      <c r="H18" s="2"/>
    </row>
    <row r="19" spans="1:8" ht="25" customHeight="1">
      <c r="A19" s="2" t="s">
        <v>27</v>
      </c>
      <c r="B19" s="2">
        <f>COUNTIF(评测题集!B3:B32,A19)</f>
        <v>6</v>
      </c>
      <c r="C19" s="2">
        <f>COUNTIFS(评测记录!C3:C32,A19,评测记录!L3:L32,"已完成")</f>
        <v>6</v>
      </c>
      <c r="D19" s="2">
        <f>IFERROR(SUMIFS(评测记录!G3:G32,评测记录!C3:C32,A19,评测记录!L3:L32,"已完成")/C19,0)</f>
        <v>0.5</v>
      </c>
      <c r="E19" s="2">
        <f>IFERROR(SUMIFS(评测记录!H3:H32,评测记录!C3:C32,A19,评测记录!L3:L32,"已完成")/C19,0)</f>
        <v>0.83333333333333337</v>
      </c>
      <c r="F19" s="2">
        <f>IFERROR(AVERAGEIFS(评测记录!M3:M32,评测记录!C3:C32,A19,评测记录!L3:L32,"已完成"),0)</f>
        <v>6</v>
      </c>
      <c r="G19" s="2"/>
      <c r="H19" s="2"/>
    </row>
    <row r="20" spans="1:8" ht="25" customHeight="1">
      <c r="A20" s="2" t="s">
        <v>33</v>
      </c>
      <c r="B20" s="2">
        <f>COUNTIF(评测题集!B3:B32,A20)</f>
        <v>6</v>
      </c>
      <c r="C20" s="2">
        <f>COUNTIFS(评测记录!C3:C32,A20,评测记录!L3:L32,"已完成")</f>
        <v>6</v>
      </c>
      <c r="D20" s="2">
        <f>IFERROR(SUMIFS(评测记录!G3:G32,评测记录!C3:C32,A20,评测记录!L3:L32,"已完成")/C20,0)</f>
        <v>1</v>
      </c>
      <c r="E20" s="2">
        <f>IFERROR(SUMIFS(评测记录!H3:H32,评测记录!C3:C32,A20,评测记录!L3:L32,"已完成")/C20,0)</f>
        <v>1</v>
      </c>
      <c r="F20" s="2">
        <f>IFERROR(AVERAGEIFS(评测记录!M3:M32,评测记录!C3:C32,A20,评测记录!L3:L32,"已完成"),0)</f>
        <v>6.666666666666667</v>
      </c>
      <c r="G20" s="2"/>
      <c r="H20" s="2"/>
    </row>
    <row r="21" spans="1:8" ht="25" customHeight="1">
      <c r="A21" s="2" t="s">
        <v>42</v>
      </c>
      <c r="B21" s="2">
        <f>COUNTIF(评测题集!B3:B32,A21)</f>
        <v>6</v>
      </c>
      <c r="C21" s="2">
        <f>COUNTIFS(评测记录!C3:C32,A21,评测记录!L3:L32,"已完成")</f>
        <v>6</v>
      </c>
      <c r="D21" s="2">
        <f>IFERROR(SUMIFS(评测记录!G3:G32,评测记录!C3:C32,A21,评测记录!L3:L32,"已完成")/C21,0)</f>
        <v>1</v>
      </c>
      <c r="E21" s="2">
        <f>IFERROR(SUMIFS(评测记录!H3:H32,评测记录!C3:C32,A21,评测记录!L3:L32,"已完成")/C21,0)</f>
        <v>1</v>
      </c>
      <c r="F21" s="2">
        <f>IFERROR(AVERAGEIFS(评测记录!M3:M32,评测记录!C3:C32,A21,评测记录!L3:L32,"已完成"),0)</f>
        <v>6.666666666666667</v>
      </c>
      <c r="G21" s="2"/>
      <c r="H21" s="2"/>
    </row>
    <row r="22" spans="1:8" ht="25" customHeight="1">
      <c r="A22" s="2"/>
      <c r="B22" s="2"/>
      <c r="C22" s="2"/>
      <c r="D22" s="2"/>
      <c r="E22" s="2"/>
      <c r="F22" s="2"/>
      <c r="G22" s="2"/>
      <c r="H22" s="2"/>
    </row>
    <row r="23" spans="1:8" ht="25" customHeight="1">
      <c r="A23" s="2"/>
      <c r="B23" s="2"/>
      <c r="C23" s="2"/>
      <c r="D23" s="2"/>
      <c r="E23" s="2"/>
      <c r="F23" s="2"/>
      <c r="G23" s="2"/>
      <c r="H23" s="2"/>
    </row>
    <row r="24" spans="1:8" ht="25" customHeight="1">
      <c r="A24" s="2"/>
      <c r="B24" s="2"/>
      <c r="C24" s="2"/>
      <c r="D24" s="2"/>
      <c r="E24" s="2"/>
      <c r="F24" s="2"/>
      <c r="G24" s="2"/>
      <c r="H24" s="2"/>
    </row>
    <row r="25" spans="1:8" ht="25" customHeight="1">
      <c r="A25" s="2"/>
      <c r="B25" s="2"/>
      <c r="C25" s="2"/>
      <c r="D25" s="2"/>
      <c r="E25" s="2"/>
      <c r="F25" s="2"/>
      <c r="G25" s="2"/>
      <c r="H25" s="2"/>
    </row>
  </sheetData>
  <mergeCells count="2">
    <mergeCell ref="A3:H4"/>
    <mergeCell ref="A1:H1"/>
  </mergeCells>
  <phoneticPr fontId="6" type="noConversion"/>
  <pageMargins left="0.75" right="0.75" top="1" bottom="1" header="0.5" footer="0.5"/>
  <pageSetup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18"/>
  <sheetViews>
    <sheetView showGridLines="0" workbookViewId="0">
      <pane ySplit="2" topLeftCell="A3" activePane="bottomLeft" state="frozen"/>
      <selection pane="bottomLeft"/>
    </sheetView>
  </sheetViews>
  <sheetFormatPr defaultRowHeight="14"/>
  <cols>
    <col min="1" max="1" width="16" customWidth="1"/>
    <col min="2" max="2" width="24" customWidth="1"/>
    <col min="3" max="3" width="34" customWidth="1"/>
    <col min="4" max="4" width="42" customWidth="1"/>
  </cols>
  <sheetData>
    <row r="1" spans="1:4" ht="32" customHeight="1">
      <c r="A1" s="7" t="s">
        <v>327</v>
      </c>
      <c r="B1" s="8"/>
      <c r="C1" s="8"/>
      <c r="D1" s="9"/>
    </row>
    <row r="2" spans="1:4" ht="28" customHeight="1">
      <c r="A2" s="1" t="s">
        <v>328</v>
      </c>
      <c r="B2" s="1" t="s">
        <v>329</v>
      </c>
      <c r="C2" s="1" t="s">
        <v>330</v>
      </c>
      <c r="D2" s="1" t="s">
        <v>331</v>
      </c>
    </row>
    <row r="3" spans="1:4" ht="28" customHeight="1">
      <c r="A3" s="2" t="s">
        <v>332</v>
      </c>
      <c r="B3" s="2" t="s">
        <v>333</v>
      </c>
      <c r="C3" s="2" t="s">
        <v>334</v>
      </c>
      <c r="D3" s="2" t="s">
        <v>335</v>
      </c>
    </row>
    <row r="4" spans="1:4" ht="28" customHeight="1">
      <c r="A4" s="2" t="s">
        <v>336</v>
      </c>
      <c r="B4" s="2" t="s">
        <v>337</v>
      </c>
      <c r="C4" s="2" t="s">
        <v>338</v>
      </c>
      <c r="D4" s="2" t="s">
        <v>339</v>
      </c>
    </row>
    <row r="5" spans="1:4" ht="28" customHeight="1">
      <c r="A5" s="2" t="s">
        <v>336</v>
      </c>
      <c r="B5" s="2" t="s">
        <v>340</v>
      </c>
      <c r="C5" s="2" t="s">
        <v>341</v>
      </c>
      <c r="D5" s="2" t="s">
        <v>342</v>
      </c>
    </row>
    <row r="6" spans="1:4" ht="28" customHeight="1">
      <c r="A6" s="2" t="s">
        <v>336</v>
      </c>
      <c r="B6" s="2" t="s">
        <v>343</v>
      </c>
      <c r="C6" s="2" t="s">
        <v>344</v>
      </c>
      <c r="D6" s="2" t="s">
        <v>345</v>
      </c>
    </row>
    <row r="7" spans="1:4" ht="28" customHeight="1">
      <c r="A7" s="2" t="s">
        <v>346</v>
      </c>
      <c r="B7" s="2" t="s">
        <v>347</v>
      </c>
      <c r="C7" s="2" t="s">
        <v>348</v>
      </c>
      <c r="D7" s="2" t="s">
        <v>349</v>
      </c>
    </row>
    <row r="8" spans="1:4" ht="28" customHeight="1">
      <c r="A8" s="2" t="s">
        <v>346</v>
      </c>
      <c r="B8" s="2" t="s">
        <v>350</v>
      </c>
      <c r="C8" s="2" t="s">
        <v>351</v>
      </c>
      <c r="D8" s="2" t="s">
        <v>349</v>
      </c>
    </row>
    <row r="9" spans="1:4" ht="28" customHeight="1">
      <c r="A9" s="2" t="s">
        <v>346</v>
      </c>
      <c r="B9" s="2" t="s">
        <v>352</v>
      </c>
      <c r="C9" s="2" t="s">
        <v>351</v>
      </c>
      <c r="D9" s="2" t="s">
        <v>349</v>
      </c>
    </row>
    <row r="10" spans="1:4" ht="28" customHeight="1">
      <c r="A10" s="2" t="s">
        <v>346</v>
      </c>
      <c r="B10" s="2" t="s">
        <v>353</v>
      </c>
      <c r="C10" s="2" t="s">
        <v>354</v>
      </c>
      <c r="D10" s="2" t="s">
        <v>355</v>
      </c>
    </row>
    <row r="11" spans="1:4" ht="28" customHeight="1">
      <c r="A11" s="2" t="s">
        <v>346</v>
      </c>
      <c r="B11" s="2" t="s">
        <v>356</v>
      </c>
      <c r="C11" s="2" t="s">
        <v>357</v>
      </c>
      <c r="D11" s="2" t="s">
        <v>358</v>
      </c>
    </row>
    <row r="12" spans="1:4" ht="28" customHeight="1">
      <c r="A12" s="2" t="s">
        <v>33</v>
      </c>
      <c r="B12" s="2" t="s">
        <v>359</v>
      </c>
      <c r="C12" s="2" t="s">
        <v>360</v>
      </c>
      <c r="D12" s="2" t="s">
        <v>361</v>
      </c>
    </row>
    <row r="13" spans="1:4" ht="28" customHeight="1">
      <c r="A13" s="2" t="s">
        <v>362</v>
      </c>
      <c r="B13" s="2" t="s">
        <v>363</v>
      </c>
      <c r="C13" s="2" t="s">
        <v>364</v>
      </c>
      <c r="D13" s="2" t="s">
        <v>365</v>
      </c>
    </row>
    <row r="14" spans="1:4" ht="28" customHeight="1">
      <c r="A14" s="2" t="s">
        <v>366</v>
      </c>
      <c r="B14" s="2" t="s">
        <v>260</v>
      </c>
      <c r="C14" s="2" t="s">
        <v>367</v>
      </c>
      <c r="D14" s="2" t="s">
        <v>368</v>
      </c>
    </row>
    <row r="15" spans="1:4" ht="30" customHeight="1">
      <c r="A15" s="4" t="s">
        <v>369</v>
      </c>
      <c r="B15" s="4" t="s">
        <v>370</v>
      </c>
      <c r="C15" s="4" t="s">
        <v>371</v>
      </c>
      <c r="D15" s="4" t="s">
        <v>372</v>
      </c>
    </row>
    <row r="16" spans="1:4" ht="30" customHeight="1">
      <c r="A16" s="2" t="s">
        <v>369</v>
      </c>
      <c r="B16" s="2" t="s">
        <v>373</v>
      </c>
      <c r="C16" s="2" t="s">
        <v>374</v>
      </c>
      <c r="D16" s="2" t="s">
        <v>375</v>
      </c>
    </row>
    <row r="17" spans="1:4" ht="30" customHeight="1">
      <c r="A17" s="4" t="s">
        <v>369</v>
      </c>
      <c r="B17" s="4" t="s">
        <v>376</v>
      </c>
      <c r="C17" s="4" t="s">
        <v>107</v>
      </c>
      <c r="D17" s="4" t="s">
        <v>377</v>
      </c>
    </row>
    <row r="18" spans="1:4" ht="30" customHeight="1">
      <c r="A18" s="2" t="s">
        <v>369</v>
      </c>
      <c r="B18" s="2" t="s">
        <v>261</v>
      </c>
      <c r="C18" s="6">
        <v>46230</v>
      </c>
      <c r="D18" s="2" t="s">
        <v>378</v>
      </c>
    </row>
  </sheetData>
  <autoFilter ref="A2:D18" xr:uid="{00000000-0009-0000-0000-000005000000}"/>
  <mergeCells count="1">
    <mergeCell ref="A1:D1"/>
  </mergeCells>
  <phoneticPr fontId="6" type="noConversion"/>
  <pageMargins left="0.75" right="0.75" top="1" bottom="1" header="0.5" footer="0.5"/>
  <pageSetup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文档目录</vt:lpstr>
      <vt:lpstr>使用说明</vt:lpstr>
      <vt:lpstr>评测题集</vt:lpstr>
      <vt:lpstr>评测记录</vt:lpstr>
      <vt:lpstr>指标看板</vt:lpstr>
      <vt:lpstr>参数记录</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医疗器械软件测试知识库独立留出测试结果</dc:title>
  <dc:subject>30道未参与优化的独立留出测试题</dc:subject>
  <dc:creator>Scarlet-S</dc:creator>
  <cp:lastModifiedBy>洋 汪</cp:lastModifiedBy>
  <dcterms:created xsi:type="dcterms:W3CDTF">2026-07-27T04:02:26Z</dcterms:created>
  <dcterms:modified xsi:type="dcterms:W3CDTF">2026-07-27T04:44:58Z</dcterms:modified>
</cp:coreProperties>
</file>