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目录" sheetId="1" state="visible" r:id="rId1"/>
    <sheet name="使用说明" sheetId="2" state="visible" r:id="rId2"/>
    <sheet name="评测题集" sheetId="3" state="visible" r:id="rId3"/>
    <sheet name="评测记录" sheetId="4" state="visible" r:id="rId4"/>
    <sheet name="指标看板" sheetId="5" state="visible" r:id="rId5"/>
    <sheet name="参数记录" sheetId="6" state="visible" r:id="rId6"/>
  </sheets>
  <definedNames>
    <definedName name="_xlnm._FilterDatabase" localSheetId="0" hidden="1">'文档目录'!$A$2:$J$7</definedName>
    <definedName name="_xlnm._FilterDatabase" localSheetId="2" hidden="1">'评测题集'!$A$2:$J$32</definedName>
    <definedName name="_xlnm._FilterDatabase" localSheetId="3" hidden="1">'评测记录'!$A$2:$O$32</definedName>
    <definedName name="_xlnm._FilterDatabase" localSheetId="5" hidden="1">'参数记录'!$A$2:$D$14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color rgb="001F2937"/>
      <sz val="10"/>
    </font>
    <font>
      <name val="Microsoft YaHei"/>
      <b val="1"/>
      <color rgb="00FFFFFF"/>
      <sz val="16"/>
    </font>
    <font>
      <name val="Microsoft YaHei"/>
      <b val="1"/>
      <color rgb="001F4E78"/>
      <sz val="10"/>
    </font>
    <font>
      <name val="Microsoft YaHei"/>
      <b val="1"/>
      <color rgb="00FFFFFF"/>
      <sz val="11"/>
    </font>
    <font>
      <name val="Microsoft YaHei"/>
      <color rgb="007F60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E"/>
      </patternFill>
    </fill>
    <fill>
      <patternFill patternType="solid">
        <fgColor rgb="005B9BD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rgb="00C9D6E2"/>
      </left>
      <right style="thin">
        <color rgb="00C9D6E2"/>
      </right>
      <top style="thin">
        <color rgb="00C9D6E2"/>
      </top>
      <bottom style="thin">
        <color rgb="00C9D6E2"/>
      </bottom>
    </border>
    <border>
      <left/>
      <right/>
      <top style="thin">
        <color rgb="00C9D6E2"/>
      </top>
      <bottom/>
      <diagonal/>
    </border>
    <border>
      <left/>
      <right style="thin">
        <color rgb="00C9D6E2"/>
      </right>
      <top style="thin">
        <color rgb="00C9D6E2"/>
      </top>
      <bottom/>
      <diagonal/>
    </border>
    <border>
      <left/>
      <right/>
      <top style="thin">
        <color rgb="00C9D6E2"/>
      </top>
      <bottom style="thin">
        <color rgb="00C9D6E2"/>
      </bottom>
      <diagonal/>
    </border>
    <border>
      <left/>
      <right style="thin">
        <color rgb="00C9D6E2"/>
      </right>
      <top style="thin">
        <color rgb="00C9D6E2"/>
      </top>
      <bottom style="thin">
        <color rgb="00C9D6E2"/>
      </bottom>
      <diagonal/>
    </border>
    <border>
      <left style="thin">
        <color rgb="00C9D6E2"/>
      </left>
      <right/>
      <top/>
      <bottom/>
      <diagonal/>
    </border>
    <border>
      <left/>
      <right style="thin">
        <color rgb="00C9D6E2"/>
      </right>
      <top/>
      <bottom/>
      <diagonal/>
    </border>
    <border>
      <left style="thin">
        <color rgb="00C9D6E2"/>
      </left>
      <right/>
      <top/>
      <bottom style="thin">
        <color rgb="00C9D6E2"/>
      </bottom>
      <diagonal/>
    </border>
    <border>
      <left/>
      <right/>
      <top/>
      <bottom style="thin">
        <color rgb="00C9D6E2"/>
      </bottom>
      <diagonal/>
    </border>
    <border>
      <left/>
      <right style="thin">
        <color rgb="00C9D6E2"/>
      </right>
      <top/>
      <bottom style="thin">
        <color rgb="00C9D6E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30" customWidth="1" min="4" max="4"/>
    <col width="14" customWidth="1" min="5" max="5"/>
    <col width="16" customWidth="1" min="6" max="6"/>
    <col width="42" customWidth="1" min="7" max="7"/>
    <col width="38" customWidth="1" min="8" max="8"/>
    <col width="18" customWidth="1" min="9" max="9"/>
    <col width="18" customWidth="1" min="10" max="10"/>
  </cols>
  <sheetData>
    <row r="1" ht="32" customHeight="1">
      <c r="A1" s="1" t="inlineStr">
        <is>
          <t>独立留出测试集文档目录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8" customHeight="1">
      <c r="A2" s="4" t="inlineStr">
        <is>
          <t>文档ID</t>
        </is>
      </c>
      <c r="B2" s="4" t="inlineStr">
        <is>
          <t>标题</t>
        </is>
      </c>
      <c r="C2" s="4" t="inlineStr">
        <is>
          <t>分类</t>
        </is>
      </c>
      <c r="D2" s="4" t="inlineStr">
        <is>
          <t>发布机构</t>
        </is>
      </c>
      <c r="E2" s="4" t="inlineStr">
        <is>
          <t>发布日期</t>
        </is>
      </c>
      <c r="F2" s="4" t="inlineStr">
        <is>
          <t>文件类型</t>
        </is>
      </c>
      <c r="G2" s="4" t="inlineStr">
        <is>
          <t>来源URL</t>
        </is>
      </c>
      <c r="H2" s="4" t="inlineStr">
        <is>
          <t>本地文件名</t>
        </is>
      </c>
      <c r="I2" s="4" t="inlineStr">
        <is>
          <t>状态</t>
        </is>
      </c>
      <c r="J2" s="4" t="inlineStr">
        <is>
          <t>处理说明</t>
        </is>
      </c>
    </row>
    <row r="3" ht="38" customHeight="1">
      <c r="A3" s="5" t="inlineStr">
        <is>
          <t>DOC001</t>
        </is>
      </c>
      <c r="B3" s="5" t="inlineStr">
        <is>
          <t>医疗器械软件注册审查指导原则（2022年修订版）</t>
        </is>
      </c>
      <c r="C3" s="5" t="inlineStr">
        <is>
          <t>software_lifecycle</t>
        </is>
      </c>
      <c r="D3" s="5" t="inlineStr">
        <is>
          <t>国家药品监督管理局医疗器械技术审评中心</t>
        </is>
      </c>
      <c r="E3" s="5" t="inlineStr">
        <is>
          <t>2022-03-10</t>
        </is>
      </c>
      <c r="F3" s="5" t="inlineStr">
        <is>
          <t>PDF</t>
        </is>
      </c>
      <c r="G3" s="5" t="inlineStr">
        <is>
          <t>https://www.cncsdr.org/ggtz/ggzz/202203/t20220311_304189.html</t>
        </is>
      </c>
      <c r="H3" s="5" t="inlineStr">
        <is>
          <t>DOC001_CMDE_software_guidance_2022.pdf</t>
        </is>
      </c>
      <c r="I3" s="5" t="inlineStr">
        <is>
          <t>Validated</t>
        </is>
      </c>
      <c r="J3" s="5" t="inlineStr">
        <is>
          <t>原始PDF参与检索；已完成表格修复、人工检查与检索验证</t>
        </is>
      </c>
    </row>
    <row r="4" ht="38" customHeight="1">
      <c r="A4" s="5" t="inlineStr">
        <is>
          <t>DOC002</t>
        </is>
      </c>
      <c r="B4" s="5" t="inlineStr">
        <is>
          <t>医疗器械网络安全注册审查指导原则（2022年修订版）</t>
        </is>
      </c>
      <c r="C4" s="5" t="inlineStr">
        <is>
          <t>access_control_and_security</t>
        </is>
      </c>
      <c r="D4" s="5" t="inlineStr">
        <is>
          <t>国家药品监督管理局医疗器械技术审评中心</t>
        </is>
      </c>
      <c r="E4" s="5" t="inlineStr">
        <is>
          <t>2022-03-10</t>
        </is>
      </c>
      <c r="F4" s="5" t="inlineStr">
        <is>
          <t>PDF</t>
        </is>
      </c>
      <c r="G4" s="5" t="inlineStr">
        <is>
          <t>https://www.cncsdr.org/ggtz/ggzz/202203/t20220311_304187.html</t>
        </is>
      </c>
      <c r="H4" s="5" t="inlineStr">
        <is>
          <t>DOC002_CMDE_cybersecurity_guidance_2022.pdf</t>
        </is>
      </c>
      <c r="I4" s="5" t="inlineStr">
        <is>
          <t>Validated</t>
        </is>
      </c>
      <c r="J4" s="5" t="inlineStr">
        <is>
          <t>原始PDF参与检索；已完成人工检查与检索验证</t>
        </is>
      </c>
    </row>
    <row r="5" ht="38" customHeight="1">
      <c r="A5" s="5" t="inlineStr">
        <is>
          <t>DOC003</t>
        </is>
      </c>
      <c r="B5" s="5" t="inlineStr">
        <is>
          <t>医疗器械生产质量管理规范附录 独立软件</t>
        </is>
      </c>
      <c r="C5" s="5" t="inlineStr">
        <is>
          <t>software_lifecycle</t>
        </is>
      </c>
      <c r="D5" s="5" t="inlineStr">
        <is>
          <t>国家药品监督管理局</t>
        </is>
      </c>
      <c r="E5" s="5" t="inlineStr">
        <is>
          <t>2019-07-12</t>
        </is>
      </c>
      <c r="F5" s="5" t="inlineStr">
        <is>
          <t>PDF</t>
        </is>
      </c>
      <c r="G5" s="5" t="inlineStr">
        <is>
          <t>https://www.nmpa.gov.cn/xxgk/ggtg/ylqxggtg/ylqxqtggtg/20190712113301132.html</t>
        </is>
      </c>
      <c r="H5" s="5" t="inlineStr">
        <is>
          <t>DOC003_NMPA_independent_software_GMP_2019.pdf</t>
        </is>
      </c>
      <c r="I5" s="5" t="inlineStr">
        <is>
          <t>Validated</t>
        </is>
      </c>
      <c r="J5" s="5" t="inlineStr">
        <is>
          <t>原始PDF参与检索；已完成人工检查与检索验证</t>
        </is>
      </c>
    </row>
    <row r="6" ht="38" customHeight="1">
      <c r="A6" s="5" t="inlineStr">
        <is>
          <t>DOC004</t>
        </is>
      </c>
      <c r="B6" s="5" t="inlineStr">
        <is>
          <t>医疗器械生产质量管理规范独立软件现场检查指导原则</t>
        </is>
      </c>
      <c r="C6" s="5" t="inlineStr">
        <is>
          <t>software_testing</t>
        </is>
      </c>
      <c r="D6" s="5" t="inlineStr">
        <is>
          <t>国家药品监督管理局综合司</t>
        </is>
      </c>
      <c r="E6" s="5" t="inlineStr">
        <is>
          <t>2020-06-04</t>
        </is>
      </c>
      <c r="F6" s="5" t="inlineStr">
        <is>
          <t>PDF+Markdown</t>
        </is>
      </c>
      <c r="G6" s="5" t="inlineStr">
        <is>
          <t>https://www.nmpa.gov.cn/xxgk/fgwj/gzwj/gzwjylqx/20200604162801601.html</t>
        </is>
      </c>
      <c r="H6" s="5" t="inlineStr">
        <is>
          <t>DOC004_NMPA_software_inspection_guideline_2020.pdf</t>
        </is>
      </c>
      <c r="I6" s="5" t="inlineStr">
        <is>
          <t>Validated</t>
        </is>
      </c>
      <c r="J6" s="5" t="inlineStr">
        <is>
          <t>原始PDF留档；RAGFlow标题切片版Markdown参与检索</t>
        </is>
      </c>
    </row>
    <row r="7" ht="38" customHeight="1">
      <c r="A7" s="5" t="inlineStr">
        <is>
          <t>DOC005</t>
        </is>
      </c>
      <c r="B7" s="5" t="inlineStr">
        <is>
          <t>医疗器械注册质量管理体系核查指南</t>
        </is>
      </c>
      <c r="C7" s="5" t="inlineStr">
        <is>
          <t>requirements_and_traceability</t>
        </is>
      </c>
      <c r="D7" s="5" t="inlineStr">
        <is>
          <t>国家药品监督管理局</t>
        </is>
      </c>
      <c r="E7" s="5" t="inlineStr">
        <is>
          <t>2022-10-10</t>
        </is>
      </c>
      <c r="F7" s="5" t="inlineStr">
        <is>
          <t>PDF</t>
        </is>
      </c>
      <c r="G7" s="5" t="inlineStr">
        <is>
          <t>https://www.nmpa.gov.cn/ylqx/ylqxggtg/20221010110514148.html</t>
        </is>
      </c>
      <c r="H7" s="5" t="inlineStr">
        <is>
          <t>DOC005_NMPA_registration_QMS_inspection_2022.pdf</t>
        </is>
      </c>
      <c r="I7" s="5" t="inlineStr">
        <is>
          <t>Validated</t>
        </is>
      </c>
      <c r="J7" s="5" t="inlineStr">
        <is>
          <t>正文参与检索；附表重复分块已关闭</t>
        </is>
      </c>
    </row>
  </sheetData>
  <autoFilter ref="A2:J7"/>
  <mergeCells count="1">
    <mergeCell ref="A1:J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独立留出测试集使用说明</t>
        </is>
      </c>
      <c r="B1" s="2" t="n"/>
      <c r="C1" s="2" t="n"/>
      <c r="D1" s="2" t="n"/>
      <c r="E1" s="2" t="n"/>
      <c r="F1" s="3" t="n"/>
    </row>
    <row r="2">
      <c r="A2" s="5" t="n"/>
      <c r="B2" s="5" t="n"/>
      <c r="C2" s="5" t="n"/>
      <c r="D2" s="5" t="n"/>
      <c r="E2" s="5" t="n"/>
      <c r="F2" s="5" t="n"/>
    </row>
    <row r="3" ht="45" customHeight="1">
      <c r="A3" s="6" t="inlineStr">
        <is>
          <t>测试目的</t>
        </is>
      </c>
      <c r="B3" s="7" t="inlineStr">
        <is>
          <t>使用30道未参与检索参数、切片和提示词优化的新题，评估系统在陌生问法与新条款上的泛化能力。</t>
        </is>
      </c>
      <c r="C3" s="2" t="n"/>
      <c r="D3" s="2" t="n"/>
      <c r="E3" s="2" t="n"/>
      <c r="F3" s="3" t="n"/>
    </row>
    <row r="4" ht="45" customHeight="1">
      <c r="A4" s="6" t="inlineStr">
        <is>
          <t>冻结配置</t>
        </is>
      </c>
      <c r="B4" s="7" t="inlineStr">
        <is>
          <t>相似度阈值0.20；向量权重0.50；全文权重0.50；Top N=8；Rerank=qwen3-rerank。</t>
        </is>
      </c>
      <c r="C4" s="2" t="n"/>
      <c r="D4" s="2" t="n"/>
      <c r="E4" s="2" t="n"/>
      <c r="F4" s="3" t="n"/>
    </row>
    <row r="5" ht="45" customHeight="1">
      <c r="A5" s="6" t="inlineStr">
        <is>
          <t>防止泄漏</t>
        </is>
      </c>
      <c r="B5" s="7" t="inlineStr">
        <is>
          <t>首次测试结束并归档结果前，不得根据H001-H030修改切片、添加相关问题、调整检索参数或修改回答提示词。</t>
        </is>
      </c>
      <c r="C5" s="2" t="n"/>
      <c r="D5" s="2" t="n"/>
      <c r="E5" s="2" t="n"/>
      <c r="F5" s="3" t="n"/>
    </row>
    <row r="6" ht="45" customHeight="1">
      <c r="A6" s="6" t="inlineStr">
        <is>
          <t>首次运行</t>
        </is>
      </c>
      <c r="B6" s="7" t="inlineStr">
        <is>
          <t>先运行3题冒烟测试，再一次性运行全部30题。每题使用独立会话，保存完整回答、引用顺序和相似度。</t>
        </is>
      </c>
      <c r="C6" s="2" t="n"/>
      <c r="D6" s="2" t="n"/>
      <c r="E6" s="2" t="n"/>
      <c r="F6" s="3" t="n"/>
    </row>
    <row r="7" ht="45" customHeight="1">
      <c r="A7" s="6" t="inlineStr">
        <is>
          <t>评分流程</t>
        </is>
      </c>
      <c r="B7" s="7" t="inlineStr">
        <is>
          <t>先计算严格Top-1/Top-3，再运行LLM裁判；最后仅人工复核低分题、无引用题和裁判争议题。</t>
        </is>
      </c>
      <c r="C7" s="2" t="n"/>
      <c r="D7" s="2" t="n"/>
      <c r="E7" s="2" t="n"/>
      <c r="F7" s="3" t="n"/>
    </row>
    <row r="8" ht="45" customHeight="1">
      <c r="A8" s="6" t="inlineStr">
        <is>
          <t>结果解释</t>
        </is>
      </c>
      <c r="B8" s="7" t="inlineStr">
        <is>
          <t>本工作簿是独立留出集。若测试后据此优化系统，应把本批题转为回归集，并另建新的留出集验证后续版本。</t>
        </is>
      </c>
      <c r="C8" s="2" t="n"/>
      <c r="D8" s="2" t="n"/>
      <c r="E8" s="2" t="n"/>
      <c r="F8" s="3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8" t="inlineStr">
        <is>
          <t>执行顺序</t>
        </is>
      </c>
      <c r="B11" s="2" t="n"/>
      <c r="C11" s="2" t="n"/>
      <c r="D11" s="2" t="n"/>
      <c r="E11" s="2" t="n"/>
      <c r="F11" s="3" t="n"/>
    </row>
    <row r="12" ht="28" customHeight="1">
      <c r="A12" s="9" t="inlineStr">
        <is>
          <t>1. 确认RAGFlow最终配置与“参数记录”一致。</t>
        </is>
      </c>
      <c r="B12" s="2" t="n"/>
      <c r="C12" s="2" t="n"/>
      <c r="D12" s="2" t="n"/>
      <c r="E12" s="2" t="n"/>
      <c r="F12" s="3" t="n"/>
    </row>
    <row r="13" ht="28" customHeight="1">
      <c r="A13" s="10" t="inlineStr">
        <is>
          <t>2. 锁定H001-H030，不提前在聊天页面试问。</t>
        </is>
      </c>
      <c r="B13" s="2" t="n"/>
      <c r="C13" s="2" t="n"/>
      <c r="D13" s="2" t="n"/>
      <c r="E13" s="2" t="n"/>
      <c r="F13" s="3" t="n"/>
    </row>
    <row r="14" ht="28" customHeight="1">
      <c r="A14" s="9" t="inlineStr">
        <is>
          <t>3. 运行3题冒烟测试，确认API、引用解析和输出路径正常。</t>
        </is>
      </c>
      <c r="B14" s="2" t="n"/>
      <c r="C14" s="2" t="n"/>
      <c r="D14" s="2" t="n"/>
      <c r="E14" s="2" t="n"/>
      <c r="F14" s="3" t="n"/>
    </row>
    <row r="15" ht="28" customHeight="1">
      <c r="A15" s="10" t="inlineStr">
        <is>
          <t>4. 一次性运行30题并保存JSON/CSV。</t>
        </is>
      </c>
      <c r="B15" s="2" t="n"/>
      <c r="C15" s="2" t="n"/>
      <c r="D15" s="2" t="n"/>
      <c r="E15" s="2" t="n"/>
      <c r="F15" s="3" t="n"/>
    </row>
    <row r="16" ht="28" customHeight="1">
      <c r="A16" s="9" t="inlineStr">
        <is>
          <t>5. 运行自动裁判，人工复核异常题后填写“评测记录”。</t>
        </is>
      </c>
      <c r="B16" s="2" t="n"/>
      <c r="C16" s="2" t="n"/>
      <c r="D16" s="2" t="n"/>
      <c r="E16" s="2" t="n"/>
      <c r="F16" s="3" t="n"/>
    </row>
    <row r="17" ht="28" customHeight="1">
      <c r="A17" s="10" t="inlineStr">
        <is>
          <t>6. 将原始结果永久归档，之后才允许针对失败题优化。</t>
        </is>
      </c>
      <c r="B17" s="2" t="n"/>
      <c r="C17" s="2" t="n"/>
      <c r="D17" s="2" t="n"/>
      <c r="E17" s="2" t="n"/>
      <c r="F17" s="3" t="n"/>
    </row>
  </sheetData>
  <mergeCells count="14">
    <mergeCell ref="B4:F4"/>
    <mergeCell ref="A16:F16"/>
    <mergeCell ref="A11:F11"/>
    <mergeCell ref="B7:F7"/>
    <mergeCell ref="B6:F6"/>
    <mergeCell ref="A13:F13"/>
    <mergeCell ref="A14:F14"/>
    <mergeCell ref="A1:F1"/>
    <mergeCell ref="B3:F3"/>
    <mergeCell ref="B5:F5"/>
    <mergeCell ref="A17:F17"/>
    <mergeCell ref="A12:F12"/>
    <mergeCell ref="B8:F8"/>
    <mergeCell ref="A15:F15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9" customWidth="1" min="4" max="4"/>
    <col width="12" customWidth="1" min="5" max="5"/>
    <col width="48" customWidth="1" min="6" max="6"/>
    <col width="38" customWidth="1" min="7" max="7"/>
    <col width="70" customWidth="1" min="8" max="8"/>
    <col width="12" customWidth="1" min="9" max="9"/>
    <col width="32" customWidth="1" min="10" max="10"/>
  </cols>
  <sheetData>
    <row r="1" ht="32" customHeight="1">
      <c r="A1" s="1" t="inlineStr">
        <is>
          <t>医疗器械软件测试知识库独立留出测试题集（v1）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8" customHeight="1">
      <c r="A2" s="4" t="inlineStr">
        <is>
          <t>问题ID</t>
        </is>
      </c>
      <c r="B2" s="4" t="inlineStr">
        <is>
          <t>预期文档</t>
        </is>
      </c>
      <c r="C2" s="4" t="inlineStr">
        <is>
          <t>主题</t>
        </is>
      </c>
      <c r="D2" s="4" t="inlineStr">
        <is>
          <t>难度</t>
        </is>
      </c>
      <c r="E2" s="4" t="inlineStr">
        <is>
          <t>问题类型</t>
        </is>
      </c>
      <c r="F2" s="4" t="inlineStr">
        <is>
          <t>评测问题</t>
        </is>
      </c>
      <c r="G2" s="4" t="inlineStr">
        <is>
          <t>预期定位</t>
        </is>
      </c>
      <c r="H2" s="4" t="inlineStr">
        <is>
          <t>标准答案要点</t>
        </is>
      </c>
      <c r="I2" s="4" t="inlineStr">
        <is>
          <t>状态</t>
        </is>
      </c>
      <c r="J2" s="4" t="inlineStr">
        <is>
          <t>备注</t>
        </is>
      </c>
    </row>
    <row r="3" ht="64" customHeight="1">
      <c r="A3" s="5" t="inlineStr">
        <is>
          <t>H001</t>
        </is>
      </c>
      <c r="B3" s="5" t="inlineStr">
        <is>
          <t>DOC001</t>
        </is>
      </c>
      <c r="C3" s="5" t="inlineStr">
        <is>
          <t>软件版本</t>
        </is>
      </c>
      <c r="D3" s="5" t="inlineStr">
        <is>
          <t>综合</t>
        </is>
      </c>
      <c r="E3" s="5" t="inlineStr">
        <is>
          <t>比较问答</t>
        </is>
      </c>
      <c r="F3" s="5" t="inlineStr">
        <is>
          <t>软件发布版本与软件完整版本分别反映哪些更新类型，它们发生变化时注册处理有何不同？</t>
        </is>
      </c>
      <c r="G3" s="5" t="inlineStr">
        <is>
          <t>二、主要概念（七）软件版本</t>
        </is>
      </c>
      <c r="H3" s="5" t="inlineStr">
        <is>
          <t>软件发布版本仅体现重大增强类更新，改变表示发生重大更新，应申请变更注册；软件完整版本体现重大、轻微增强、纠正类更新及软件构建。完整版本改变但发布版本未变表示仅发生轻微更新，由质量管理体系控制，无需申请变更注册。</t>
        </is>
      </c>
      <c r="I3" s="5" t="inlineStr">
        <is>
          <t>已冻结</t>
        </is>
      </c>
      <c r="J3" s="5" t="inlineStr">
        <is>
          <t>独立留出题；首次归档前禁止据此调参或改切片</t>
        </is>
      </c>
    </row>
    <row r="4" ht="64" customHeight="1">
      <c r="A4" s="5" t="inlineStr">
        <is>
          <t>H002</t>
        </is>
      </c>
      <c r="B4" s="5" t="inlineStr">
        <is>
          <t>DOC001</t>
        </is>
      </c>
      <c r="C4" s="5" t="inlineStr">
        <is>
          <t>算法功能用途</t>
        </is>
      </c>
      <c r="D4" s="5" t="inlineStr">
        <is>
          <t>中等</t>
        </is>
      </c>
      <c r="E4" s="5" t="inlineStr">
        <is>
          <t>关系问答</t>
        </is>
      </c>
      <c r="F4" s="5" t="inlineStr">
        <is>
          <t>软件算法、软件功能和软件用途之间是什么关系，为什么以软件功能作为安全有效性评价主线？</t>
        </is>
      </c>
      <c r="G4" s="5" t="inlineStr">
        <is>
          <t>二、主要概念（八）软件算法、软件功能、软件用途</t>
        </is>
      </c>
      <c r="H4" s="5" t="inlineStr">
        <is>
          <t>算法与功能、功能与用途均为多对多关系；算法对用户内在不可见，功能和用途外在可见。软件功能连接算法与用途，因此以软件功能作为安全有效性评价主线。</t>
        </is>
      </c>
      <c r="I4" s="5" t="inlineStr">
        <is>
          <t>已冻结</t>
        </is>
      </c>
      <c r="J4" s="5" t="inlineStr">
        <is>
          <t>独立留出题；首次归档前禁止据此调参或改切片</t>
        </is>
      </c>
    </row>
    <row r="5" ht="64" customHeight="1">
      <c r="A5" s="5" t="inlineStr">
        <is>
          <t>H003</t>
        </is>
      </c>
      <c r="B5" s="5" t="inlineStr">
        <is>
          <t>DOC001</t>
        </is>
      </c>
      <c r="C5" s="5" t="inlineStr">
        <is>
          <t>注册单元</t>
        </is>
      </c>
      <c r="D5" s="5" t="inlineStr">
        <is>
          <t>综合</t>
        </is>
      </c>
      <c r="E5" s="5" t="inlineStr">
        <is>
          <t>规则问答</t>
        </is>
      </c>
      <c r="F5" s="5" t="inlineStr">
        <is>
          <t>独立软件注册单元应依据哪些原则划分，管理类别不同但技术上无法拆分时如何申报？</t>
        </is>
      </c>
      <c r="G5" s="5" t="inlineStr">
        <is>
          <t>七、技术考量（一）注册单元与检测单元｜1.注册单元划分原则</t>
        </is>
      </c>
      <c r="H5" s="5" t="inlineStr">
        <is>
          <t>独立软件以管理类别、预期用途和功能模块划分注册单元。不同管理类别原则上作为不同注册单元；技术上无法拆分时可作为一个注册单元，并按较高管理类别申报。不同预期用途应分开，功能庞大复杂时按平台功能和特定功能等模块划分。</t>
        </is>
      </c>
      <c r="I5" s="5" t="inlineStr">
        <is>
          <t>已冻结</t>
        </is>
      </c>
      <c r="J5" s="5" t="inlineStr">
        <is>
          <t>独立留出题；首次归档前禁止据此调参或改切片</t>
        </is>
      </c>
    </row>
    <row r="6" ht="64" customHeight="1">
      <c r="A6" s="5" t="inlineStr">
        <is>
          <t>H004</t>
        </is>
      </c>
      <c r="B6" s="5" t="inlineStr">
        <is>
          <t>DOC001</t>
        </is>
      </c>
      <c r="C6" s="5" t="inlineStr">
        <is>
          <t>检测单元</t>
        </is>
      </c>
      <c r="D6" s="5" t="inlineStr">
        <is>
          <t>综合</t>
        </is>
      </c>
      <c r="E6" s="5" t="inlineStr">
        <is>
          <t>场景问答</t>
        </is>
      </c>
      <c r="F6" s="5" t="inlineStr">
        <is>
          <t>同一独立软件存在多个运行环境、多个发布版本或不同类型核心算法时，检测单元应如何划分？</t>
        </is>
      </c>
      <c r="G6" s="5" t="inlineStr">
        <is>
          <t>七、技术考量（一）注册单元与检测单元｜2.检测单元划分原则</t>
        </is>
      </c>
      <c r="H6" s="5" t="inlineStr">
        <is>
          <t>检测单元原则上与注册单元相同；多个互不兼容的运行环境（含云计算）或互不涵盖的发布版本应分别作为检测单元。核心功能相同但核心算法类型不同的，各类算法对应的核心功能均需检测，检测对象是核心功能而非算法。</t>
        </is>
      </c>
      <c r="I6" s="5" t="inlineStr">
        <is>
          <t>已冻结</t>
        </is>
      </c>
      <c r="J6" s="5" t="inlineStr">
        <is>
          <t>独立留出题；首次归档前禁止据此调参或改切片</t>
        </is>
      </c>
    </row>
    <row r="7" ht="64" customHeight="1">
      <c r="A7" s="5" t="inlineStr">
        <is>
          <t>H005</t>
        </is>
      </c>
      <c r="B7" s="5" t="inlineStr">
        <is>
          <t>DOC001</t>
        </is>
      </c>
      <c r="C7" s="5" t="inlineStr">
        <is>
          <t>云计算</t>
        </is>
      </c>
      <c r="D7" s="5" t="inlineStr">
        <is>
          <t>综合</t>
        </is>
      </c>
      <c r="E7" s="5" t="inlineStr">
        <is>
          <t>材料问答</t>
        </is>
      </c>
      <c r="F7" s="5" t="inlineStr">
        <is>
          <t>医疗器械软件使用云计算时，应明确哪些技术特征，并如何控制云服务商及服务终止风险？</t>
        </is>
      </c>
      <c r="G7" s="5" t="inlineStr">
        <is>
          <t>七、技术考量（四）云计算</t>
        </is>
      </c>
      <c r="H7" s="5" t="inlineStr">
        <is>
          <t>应明确服务模式、部署模式、配置、核心功能、数据接口和网络安全保证等技术特征；结合服务资质、服务协议选择云服务商，协议明确网络安全及患者数据与隐私保护责任。应在云环境开展验证确认，维护计划涵盖更新，并明确服务终止时的无损数据迁移方案。</t>
        </is>
      </c>
      <c r="I7" s="5" t="inlineStr">
        <is>
          <t>已冻结</t>
        </is>
      </c>
      <c r="J7" s="5" t="inlineStr">
        <is>
          <t>独立留出题；首次归档前禁止据此调参或改切片</t>
        </is>
      </c>
    </row>
    <row r="8" ht="64" customHeight="1">
      <c r="A8" s="5" t="inlineStr">
        <is>
          <t>H006</t>
        </is>
      </c>
      <c r="B8" s="5" t="inlineStr">
        <is>
          <t>DOC001</t>
        </is>
      </c>
      <c r="C8" s="5" t="inlineStr">
        <is>
          <t>互操作性</t>
        </is>
      </c>
      <c r="D8" s="5" t="inlineStr">
        <is>
          <t>综合</t>
        </is>
      </c>
      <c r="E8" s="5" t="inlineStr">
        <is>
          <t>披露要求</t>
        </is>
      </c>
      <c r="F8" s="5" t="inlineStr">
        <is>
          <t>对于具有互操作性的软件接口，说明书和标签分别应披露哪些信息？</t>
        </is>
      </c>
      <c r="G8" s="5" t="inlineStr">
        <is>
          <t>七、技术考量（八）互操作性</t>
        </is>
      </c>
      <c r="H8" s="5" t="inlineStr">
        <is>
          <t>说明书应逐项说明每个接口的预期用户、使用场景、预期用途、技术特征、使用限制和故障应对措施；标签应根据风险控制要求明确关键软件接口的技术特征和使用限制。</t>
        </is>
      </c>
      <c r="I8" s="5" t="inlineStr">
        <is>
          <t>已冻结</t>
        </is>
      </c>
      <c r="J8" s="5" t="inlineStr">
        <is>
          <t>独立留出题；首次归档前禁止据此调参或改切片</t>
        </is>
      </c>
    </row>
    <row r="9" ht="64" customHeight="1">
      <c r="A9" s="5" t="inlineStr">
        <is>
          <t>H007</t>
        </is>
      </c>
      <c r="B9" s="5" t="inlineStr">
        <is>
          <t>DOC002</t>
        </is>
      </c>
      <c r="C9" s="5" t="inlineStr">
        <is>
          <t>网络安全验证确认</t>
        </is>
      </c>
      <c r="D9" s="5" t="inlineStr">
        <is>
          <t>中等</t>
        </is>
      </c>
      <c r="E9" s="5" t="inlineStr">
        <is>
          <t>列表问答</t>
        </is>
      </c>
      <c r="F9" s="5" t="inlineStr">
        <is>
          <t>网络安全验证与确认可采用哪些典型活动，并应如何针对不同网络威胁选择技术手段？</t>
        </is>
      </c>
      <c r="G9" s="5" t="inlineStr">
        <is>
          <t>二、主要概念（五）网络安全验证与确认</t>
        </is>
      </c>
      <c r="H9" s="5" t="inlineStr">
        <is>
          <t>典型活动包括源代码安全审核、威胁建模、漏洞扫描、渗透测试和模糊测试等。应针对读取、操作、欺骗、泛洪、重定向、勒索等不同威胁，选择访问控制、关闭端口与服务、加密、签名、校验、防火墙、入侵检测和恶意代码防护等适宜手段。</t>
        </is>
      </c>
      <c r="I9" s="5" t="inlineStr">
        <is>
          <t>已冻结</t>
        </is>
      </c>
      <c r="J9" s="5" t="inlineStr">
        <is>
          <t>独立留出题；首次归档前禁止据此调参或改切片</t>
        </is>
      </c>
    </row>
    <row r="10" ht="64" customHeight="1">
      <c r="A10" s="5" t="inlineStr">
        <is>
          <t>H008</t>
        </is>
      </c>
      <c r="B10" s="5" t="inlineStr">
        <is>
          <t>DOC002</t>
        </is>
      </c>
      <c r="C10" s="5" t="inlineStr">
        <is>
          <t>网络安全追溯</t>
        </is>
      </c>
      <c r="D10" s="5" t="inlineStr">
        <is>
          <t>中等</t>
        </is>
      </c>
      <c r="E10" s="5" t="inlineStr">
        <is>
          <t>关系问答</t>
        </is>
      </c>
      <c r="F10" s="5" t="inlineStr">
        <is>
          <t>网络安全可追溯性分析需要追踪哪些对象，并评价这些关系的哪些属性？</t>
        </is>
      </c>
      <c r="G10" s="5" t="inlineStr">
        <is>
          <t>二、主要概念（六）网络安全可追溯性分析</t>
        </is>
      </c>
      <c r="H10" s="5" t="inlineStr">
        <is>
          <t>应追踪网络安全需求、网络安全设计、源代码、网络安全测试和网络安全风险管理之间的关系，分析关系的正确性、一致性、完整性和准确性，并贯穿网络安全生存周期。</t>
        </is>
      </c>
      <c r="I10" s="5" t="inlineStr">
        <is>
          <t>已冻结</t>
        </is>
      </c>
      <c r="J10" s="5" t="inlineStr">
        <is>
          <t>独立留出题；首次归档前禁止据此调参或改切片</t>
        </is>
      </c>
    </row>
    <row r="11" ht="64" customHeight="1">
      <c r="A11" s="5" t="inlineStr">
        <is>
          <t>H009</t>
        </is>
      </c>
      <c r="B11" s="5" t="inlineStr">
        <is>
          <t>DOC002</t>
        </is>
      </c>
      <c r="C11" s="5" t="inlineStr">
        <is>
          <t>事件应急响应</t>
        </is>
      </c>
      <c r="D11" s="5" t="inlineStr">
        <is>
          <t>综合</t>
        </is>
      </c>
      <c r="E11" s="5" t="inlineStr">
        <is>
          <t>流程问答</t>
        </is>
      </c>
      <c r="F11" s="5" t="inlineStr">
        <is>
          <t>网络安全事件应急响应预案应覆盖哪些阶段，事件发生后还需开展哪些管理活动？</t>
        </is>
      </c>
      <c r="G11" s="5" t="inlineStr">
        <is>
          <t>二、主要概念（七）网络安全事件应急响应</t>
        </is>
      </c>
      <c r="H11" s="5" t="inlineStr">
        <is>
          <t>预案应覆盖计划与准备、探测与报告、评估与决策、应急响应实施、总结与改进。应建立响应团队，按严重、紧迫和影响范围分类分级，验证并记录响应措施，及时告知用户；适用时按不良事件和召回法规处理，必要时向网络安全主管部门报告。</t>
        </is>
      </c>
      <c r="I11" s="5" t="inlineStr">
        <is>
          <t>已冻结</t>
        </is>
      </c>
      <c r="J11" s="5" t="inlineStr">
        <is>
          <t>独立留出题；首次归档前禁止据此调参或改切片</t>
        </is>
      </c>
    </row>
    <row r="12" ht="64" customHeight="1">
      <c r="A12" s="5" t="inlineStr">
        <is>
          <t>H010</t>
        </is>
      </c>
      <c r="B12" s="5" t="inlineStr">
        <is>
          <t>DOC002</t>
        </is>
      </c>
      <c r="C12" s="5" t="inlineStr">
        <is>
          <t>网络安全责任</t>
        </is>
      </c>
      <c r="D12" s="5" t="inlineStr">
        <is>
          <t>综合</t>
        </is>
      </c>
      <c r="E12" s="5" t="inlineStr">
        <is>
          <t>责任问答</t>
        </is>
      </c>
      <c r="F12" s="5" t="inlineStr">
        <is>
          <t>医疗器械与非预期设备或系统连接时，注册申请人的网络安全责任是否可以免除，应持续履行哪些职责？</t>
        </is>
      </c>
      <c r="G12" s="5" t="inlineStr">
        <is>
          <t>三、基本原则（一）网络安全定位</t>
        </is>
      </c>
      <c r="H12" s="5" t="inlineStr">
        <is>
          <t>不能免除。注册申请人应保证产品自身网络安全，明确预期网络环境和电子接口要求，持续监测、评估、应对和分享网络安全风险，并与用户、信息技术服务商等利益相关方合作。</t>
        </is>
      </c>
      <c r="I12" s="5" t="inlineStr">
        <is>
          <t>已冻结</t>
        </is>
      </c>
      <c r="J12" s="5" t="inlineStr">
        <is>
          <t>独立留出题；首次归档前禁止据此调参或改切片</t>
        </is>
      </c>
    </row>
    <row r="13" ht="64" customHeight="1">
      <c r="A13" s="5" t="inlineStr">
        <is>
          <t>H011</t>
        </is>
      </c>
      <c r="B13" s="5" t="inlineStr">
        <is>
          <t>DOC002</t>
        </is>
      </c>
      <c r="C13" s="5" t="inlineStr">
        <is>
          <t>现成软件安全</t>
        </is>
      </c>
      <c r="D13" s="5" t="inlineStr">
        <is>
          <t>综合</t>
        </is>
      </c>
      <c r="E13" s="5" t="inlineStr">
        <is>
          <t>比较问答</t>
        </is>
      </c>
      <c r="F13" s="5" t="inlineStr">
        <is>
          <t>现成软件组件与外部软件环境的网络安全关注重点有何不同，外部软件环境补丁应如何控制？</t>
        </is>
      </c>
      <c r="G13" s="5" t="inlineStr">
        <is>
          <t>五、技术考量（一）现成软件</t>
        </is>
      </c>
      <c r="H13" s="5" t="inlineStr">
        <is>
          <t>现成软件组件重点关注其网络安全问题对医疗器械使用效果的影响，安全性级别判定需纳入考量；外部软件环境重点关注补丁对安全有效性的影响，其安全性级别通常无需纳入判定。网络安全补丁属于设计变更，应对医疗器械进行验证和确认。</t>
        </is>
      </c>
      <c r="I13" s="5" t="inlineStr">
        <is>
          <t>已冻结</t>
        </is>
      </c>
      <c r="J13" s="5" t="inlineStr">
        <is>
          <t>独立留出题；首次归档前禁止据此调参或改切片</t>
        </is>
      </c>
    </row>
    <row r="14" ht="64" customHeight="1">
      <c r="A14" s="5" t="inlineStr">
        <is>
          <t>H012</t>
        </is>
      </c>
      <c r="B14" s="5" t="inlineStr">
        <is>
          <t>DOC002</t>
        </is>
      </c>
      <c r="C14" s="5" t="inlineStr">
        <is>
          <t>医疗数据出境</t>
        </is>
      </c>
      <c r="D14" s="5" t="inlineStr">
        <is>
          <t>中等</t>
        </is>
      </c>
      <c r="E14" s="5" t="inlineStr">
        <is>
          <t>合规问答</t>
        </is>
      </c>
      <c r="F14" s="5" t="inlineStr">
        <is>
          <t>境内收集和产生的医疗数据确需向境外提供时，应遵循什么存储与安全评估原则？</t>
        </is>
      </c>
      <c r="G14" s="5" t="inlineStr">
        <is>
          <t>五、技术考量（二）医疗数据出境</t>
        </is>
      </c>
      <c r="H14" s="5" t="inlineStr">
        <is>
          <t>重要数据、个人信息和人类遗传资源信息原则上应在境内存储；业务确需向境外提供时，应按相关规定开展安全评估审核。医疗数据通常属于重要数据，敏感医疗数据还含个人信息，应同时符合相应出境安全评估规定。</t>
        </is>
      </c>
      <c r="I14" s="5" t="inlineStr">
        <is>
          <t>已冻结</t>
        </is>
      </c>
      <c r="J14" s="5" t="inlineStr">
        <is>
          <t>独立留出题；首次归档前禁止据此调参或改切片</t>
        </is>
      </c>
    </row>
    <row r="15" ht="64" customHeight="1">
      <c r="A15" s="5" t="inlineStr">
        <is>
          <t>H013</t>
        </is>
      </c>
      <c r="B15" s="5" t="inlineStr">
        <is>
          <t>DOC003</t>
        </is>
      </c>
      <c r="C15" s="5" t="inlineStr">
        <is>
          <t>软件风险管理</t>
        </is>
      </c>
      <c r="D15" s="5" t="inlineStr">
        <is>
          <t>中等</t>
        </is>
      </c>
      <c r="E15" s="5" t="inlineStr">
        <is>
          <t>要求问答</t>
        </is>
      </c>
      <c r="F15" s="5" t="inlineStr">
        <is>
          <t>软件风险管理应识别和控制哪些方面的风险，并在生存周期中如何实施？</t>
        </is>
      </c>
      <c r="G15" s="5" t="inlineStr">
        <is>
          <t>2.3.3</t>
        </is>
      </c>
      <c r="H15" s="5" t="inlineStr">
        <is>
          <t>应依据风险管理控制程序，对软件功能、接口、用户界面、现成软件和网络安全等风险进行识别、分析、评价、控制和监测，并贯穿软件生存周期全过程。</t>
        </is>
      </c>
      <c r="I15" s="5" t="inlineStr">
        <is>
          <t>已冻结</t>
        </is>
      </c>
      <c r="J15" s="5" t="inlineStr">
        <is>
          <t>独立留出题；首次归档前禁止据此调参或改切片</t>
        </is>
      </c>
    </row>
    <row r="16" ht="64" customHeight="1">
      <c r="A16" s="5" t="inlineStr">
        <is>
          <t>H014</t>
        </is>
      </c>
      <c r="B16" s="5" t="inlineStr">
        <is>
          <t>DOC003</t>
        </is>
      </c>
      <c r="C16" s="5" t="inlineStr">
        <is>
          <t>配置与版本管理</t>
        </is>
      </c>
      <c r="D16" s="5" t="inlineStr">
        <is>
          <t>综合</t>
        </is>
      </c>
      <c r="E16" s="5" t="inlineStr">
        <is>
          <t>控制问答</t>
        </is>
      </c>
      <c r="F16" s="5" t="inlineStr">
        <is>
          <t>软件配置管理程序和版本命名规则分别需要控制哪些内容？</t>
        </is>
      </c>
      <c r="G16" s="5" t="inlineStr">
        <is>
          <t>2.3.4—2.3.5</t>
        </is>
      </c>
      <c r="H16" s="5" t="inlineStr">
        <is>
          <t>配置管理程序应规范软件版本、源代码、文件、工具和现成软件，规定配置标识、变更控制和配置状态记录，并使用工具贯穿生存周期。版本命名规则应覆盖软件、现成软件和网络安全的全部更新类型，字段含义明确、无歧义矛盾，版本变更须符合规则。</t>
        </is>
      </c>
      <c r="I16" s="5" t="inlineStr">
        <is>
          <t>已冻结</t>
        </is>
      </c>
      <c r="J16" s="5" t="inlineStr">
        <is>
          <t>独立留出题；首次归档前禁止据此调参或改切片</t>
        </is>
      </c>
    </row>
    <row r="17" ht="64" customHeight="1">
      <c r="A17" s="5" t="inlineStr">
        <is>
          <t>H015</t>
        </is>
      </c>
      <c r="B17" s="5" t="inlineStr">
        <is>
          <t>DOC003</t>
        </is>
      </c>
      <c r="C17" s="5" t="inlineStr">
        <is>
          <t>现成软件使用</t>
        </is>
      </c>
      <c r="D17" s="5" t="inlineStr">
        <is>
          <t>综合</t>
        </is>
      </c>
      <c r="E17" s="5" t="inlineStr">
        <is>
          <t>要求问答</t>
        </is>
      </c>
      <c r="F17" s="5" t="inlineStr">
        <is>
          <t>现成软件使用文件应规定哪些活动，遗留软件和开源软件还需满足什么附加要求？</t>
        </is>
      </c>
      <c r="G17" s="5" t="inlineStr">
        <is>
          <t>2.3.7</t>
        </is>
      </c>
      <c r="H17" s="5" t="inlineStr">
        <is>
          <t>应规定风险管理、验证确认、缺陷管理、追溯、更新、配置、文件记录和网络安全保证等活动。遗留软件还需评估现有文件、上市后使用、投诉、不良事件和召回；开源软件应遵循相应开源许可协议。</t>
        </is>
      </c>
      <c r="I17" s="5" t="inlineStr">
        <is>
          <t>已冻结</t>
        </is>
      </c>
      <c r="J17" s="5" t="inlineStr">
        <is>
          <t>独立留出题；首次归档前禁止据此调参或改切片</t>
        </is>
      </c>
    </row>
    <row r="18" ht="64" customHeight="1">
      <c r="A18" s="5" t="inlineStr">
        <is>
          <t>H016</t>
        </is>
      </c>
      <c r="B18" s="5" t="inlineStr">
        <is>
          <t>DOC003</t>
        </is>
      </c>
      <c r="C18" s="5" t="inlineStr">
        <is>
          <t>用户测试</t>
        </is>
      </c>
      <c r="D18" s="5" t="inlineStr">
        <is>
          <t>综合</t>
        </is>
      </c>
      <c r="E18" s="5" t="inlineStr">
        <is>
          <t>测试要求</t>
        </is>
      </c>
      <c r="F18" s="5" t="inlineStr">
        <is>
          <t>用户测试应在何种环境实施，需要形成哪些输出并分析哪些追溯关系？</t>
        </is>
      </c>
      <c r="G18" s="5" t="inlineStr">
        <is>
          <t>2.3.15</t>
        </is>
      </c>
      <c r="H18" s="5" t="inlineStr">
        <is>
          <t>应依据计划在真实或模拟使用环境实施，涵盖现成软件和网络安全要求，形成经批准的用户测试记录、测试报告和评审记录并适时更新；追溯分析用户测试与用户需求、用户测试与风险管理的关系。</t>
        </is>
      </c>
      <c r="I18" s="5" t="inlineStr">
        <is>
          <t>已冻结</t>
        </is>
      </c>
      <c r="J18" s="5" t="inlineStr">
        <is>
          <t>独立留出题；首次归档前禁止据此调参或改切片</t>
        </is>
      </c>
    </row>
    <row r="19" ht="64" customHeight="1">
      <c r="A19" s="5" t="inlineStr">
        <is>
          <t>H017</t>
        </is>
      </c>
      <c r="B19" s="5" t="inlineStr">
        <is>
          <t>DOC003</t>
        </is>
      </c>
      <c r="C19" s="5" t="inlineStr">
        <is>
          <t>软件发布交付</t>
        </is>
      </c>
      <c r="D19" s="5" t="inlineStr">
        <is>
          <t>综合</t>
        </is>
      </c>
      <c r="E19" s="5" t="inlineStr">
        <is>
          <t>流程问答</t>
        </is>
      </c>
      <c r="F19" s="5" t="inlineStr">
        <is>
          <t>软件发布应控制哪些活动，物理交付与网络交付的要求有何不同？</t>
        </is>
      </c>
      <c r="G19" s="5" t="inlineStr">
        <is>
          <t>2.5.1—2.5.2</t>
        </is>
      </c>
      <c r="H19" s="5" t="inlineStr">
        <is>
          <t>发布应控制产品文件创建、产品与文件归档备份、版本识别标记、交付形式评估验证和病毒防护，保证可重复性。物理交付还控制复制、许可授权及存储媒介包装、标记和防护；网络交付控制产品标记、许可授权和网络安全保证。</t>
        </is>
      </c>
      <c r="I19" s="5" t="inlineStr">
        <is>
          <t>已冻结</t>
        </is>
      </c>
      <c r="J19" s="5" t="inlineStr">
        <is>
          <t>独立留出题；首次归档前禁止据此调参或改切片</t>
        </is>
      </c>
    </row>
    <row r="20" ht="64" customHeight="1">
      <c r="A20" s="5" t="inlineStr">
        <is>
          <t>H018</t>
        </is>
      </c>
      <c r="B20" s="5" t="inlineStr">
        <is>
          <t>DOC003</t>
        </is>
      </c>
      <c r="C20" s="5" t="inlineStr">
        <is>
          <t>安全事件响应</t>
        </is>
      </c>
      <c r="D20" s="5" t="inlineStr">
        <is>
          <t>中等</t>
        </is>
      </c>
      <c r="E20" s="5" t="inlineStr">
        <is>
          <t>要求问答</t>
        </is>
      </c>
      <c r="F20" s="5" t="inlineStr">
        <is>
          <t>网络安全事件应急响应文件应规定哪些活动并保留什么证据？</t>
        </is>
      </c>
      <c r="G20" s="5" t="inlineStr">
        <is>
          <t>2.8.2</t>
        </is>
      </c>
      <c r="H20" s="5" t="inlineStr">
        <is>
          <t>文件应规定网络安全事件风险管理、应急响应措施验证、用户告知和召回等活动，并保持相关记录。</t>
        </is>
      </c>
      <c r="I20" s="5" t="inlineStr">
        <is>
          <t>已冻结</t>
        </is>
      </c>
      <c r="J20" s="5" t="inlineStr">
        <is>
          <t>独立留出题；首次归档前禁止据此调参或改切片</t>
        </is>
      </c>
    </row>
    <row r="21" ht="64" customHeight="1">
      <c r="A21" s="5" t="inlineStr">
        <is>
          <t>H019</t>
        </is>
      </c>
      <c r="B21" s="5" t="inlineStr">
        <is>
          <t>DOC004</t>
        </is>
      </c>
      <c r="C21" s="5" t="inlineStr">
        <is>
          <t>用户测试人员</t>
        </is>
      </c>
      <c r="D21" s="5" t="inlineStr">
        <is>
          <t>基础</t>
        </is>
      </c>
      <c r="E21" s="5" t="inlineStr">
        <is>
          <t>检查问答</t>
        </is>
      </c>
      <c r="F21" s="5" t="inlineStr">
        <is>
          <t>现场检查用户测试人员能力时，应核实什么要求并查看哪些证明材料？</t>
        </is>
      </c>
      <c r="G21" s="5" t="inlineStr">
        <is>
          <t>1.9.1</t>
        </is>
      </c>
      <c r="H21" s="5" t="inlineStr">
        <is>
          <t>应核实用户测试人员具有适宜的软件产品使用经验，或经过培训具备适宜使用技能；查看其岗位职责书、简历和培训记录。</t>
        </is>
      </c>
      <c r="I21" s="5" t="inlineStr">
        <is>
          <t>已冻结</t>
        </is>
      </c>
      <c r="J21" s="5" t="inlineStr">
        <is>
          <t>独立留出题；首次归档前禁止据此调参或改切片</t>
        </is>
      </c>
    </row>
    <row r="22" ht="64" customHeight="1">
      <c r="A22" s="5" t="inlineStr">
        <is>
          <t>H020</t>
        </is>
      </c>
      <c r="B22" s="5" t="inlineStr">
        <is>
          <t>DOC004</t>
        </is>
      </c>
      <c r="C22" s="5" t="inlineStr">
        <is>
          <t>文件控制</t>
        </is>
      </c>
      <c r="D22" s="5" t="inlineStr">
        <is>
          <t>综合</t>
        </is>
      </c>
      <c r="E22" s="5" t="inlineStr">
        <is>
          <t>检查问答</t>
        </is>
      </c>
      <c r="F22" s="5" t="inlineStr">
        <is>
          <t>现场检查质量体系文件控制时，应确认哪些文件生命周期活动和防误用措施？</t>
        </is>
      </c>
      <c r="G22" s="5" t="inlineStr">
        <is>
          <t>4.2.2—4.2.4</t>
        </is>
      </c>
      <c r="H22" s="5" t="inlineStr">
        <is>
          <t>确认起草、修订、审核、批准、替换或撤销、复制、保管和销毁按程序管理，并有分发、撤销、复制和销毁记录；更新修订经过评审批准且状态可识别；分发使用适宜文本，撤销或作废文件有标识以防误用。</t>
        </is>
      </c>
      <c r="I22" s="5" t="inlineStr">
        <is>
          <t>已冻结</t>
        </is>
      </c>
      <c r="J22" s="5" t="inlineStr">
        <is>
          <t>独立留出题；首次归档前禁止据此调参或改切片</t>
        </is>
      </c>
    </row>
    <row r="23" ht="64" customHeight="1">
      <c r="A23" s="5" t="inlineStr">
        <is>
          <t>H021</t>
        </is>
      </c>
      <c r="B23" s="5" t="inlineStr">
        <is>
          <t>DOC004</t>
        </is>
      </c>
      <c r="C23" s="5" t="inlineStr">
        <is>
          <t>软件设计</t>
        </is>
      </c>
      <c r="D23" s="5" t="inlineStr">
        <is>
          <t>综合</t>
        </is>
      </c>
      <c r="E23" s="5" t="inlineStr">
        <is>
          <t>检查问答</t>
        </is>
      </c>
      <c r="F23" s="5" t="inlineStr">
        <is>
          <t>现场检查软件设计活动时，应查看哪些文件、记录和可追溯关系？</t>
        </is>
      </c>
      <c r="G23" s="5" t="inlineStr">
        <is>
          <t>5.10.1</t>
        </is>
      </c>
      <c r="H23" s="5" t="inlineStr">
        <is>
          <t>查看软件设计相关文件和软件设计规范/SDS，适用时确认明确强制性标准要求；抽查评审记录和追溯记录，确认设计涵盖架构、功能、性能、算法、接口、界面、单元和网络安全，并分析软件设计与软件需求的关系。</t>
        </is>
      </c>
      <c r="I23" s="5" t="inlineStr">
        <is>
          <t>已冻结</t>
        </is>
      </c>
      <c r="J23" s="5" t="inlineStr">
        <is>
          <t>独立留出题；首次归档前禁止据此调参或改切片</t>
        </is>
      </c>
    </row>
    <row r="24" ht="64" customHeight="1">
      <c r="A24" s="5" t="inlineStr">
        <is>
          <t>H022</t>
        </is>
      </c>
      <c r="B24" s="5" t="inlineStr">
        <is>
          <t>DOC004</t>
        </is>
      </c>
      <c r="C24" s="5" t="inlineStr">
        <is>
          <t>云计算协议</t>
        </is>
      </c>
      <c r="D24" s="5" t="inlineStr">
        <is>
          <t>基础</t>
        </is>
      </c>
      <c r="E24" s="5" t="inlineStr">
        <is>
          <t>检查问答</t>
        </is>
      </c>
      <c r="F24" s="5" t="inlineStr">
        <is>
          <t>企业使用云计算服务时，现场检查质量协议应确认哪些责任承担要求？</t>
        </is>
      </c>
      <c r="G24" s="5" t="inlineStr">
        <is>
          <t>6.6.1</t>
        </is>
      </c>
      <c r="H24" s="5" t="inlineStr">
        <is>
          <t>查看云计算服务协议，确认明确网络安全保证以及患者数据与隐私保护等责任承担要求。</t>
        </is>
      </c>
      <c r="I24" s="5" t="inlineStr">
        <is>
          <t>已冻结</t>
        </is>
      </c>
      <c r="J24" s="5" t="inlineStr">
        <is>
          <t>独立留出题；首次归档前禁止据此调参或改切片</t>
        </is>
      </c>
    </row>
    <row r="25" ht="64" customHeight="1">
      <c r="A25" s="5" t="inlineStr">
        <is>
          <t>H023</t>
        </is>
      </c>
      <c r="B25" s="5" t="inlineStr">
        <is>
          <t>DOC004</t>
        </is>
      </c>
      <c r="C25" s="5" t="inlineStr">
        <is>
          <t>软件发布</t>
        </is>
      </c>
      <c r="D25" s="5" t="inlineStr">
        <is>
          <t>综合</t>
        </is>
      </c>
      <c r="E25" s="5" t="inlineStr">
        <is>
          <t>检查问答</t>
        </is>
      </c>
      <c r="F25" s="5" t="inlineStr">
        <is>
          <t>现场检查软件发布与交付时，应核实哪些文件、记录以及物理和网络交付要求？</t>
        </is>
      </c>
      <c r="G25" s="5" t="inlineStr">
        <is>
          <t>7.2.1—7.3.1</t>
        </is>
      </c>
      <c r="H25" s="5" t="inlineStr">
        <is>
          <t>查看发布文件及记录，核实文件创建、归档备份、版本识别标记、交付评估验证、病毒防护和发布可重复性。物理交付核实复制、授权、媒介包装标记防护；网络交付核实产品标记、许可授权和网络安全保证。</t>
        </is>
      </c>
      <c r="I25" s="5" t="inlineStr">
        <is>
          <t>已冻结</t>
        </is>
      </c>
      <c r="J25" s="5" t="inlineStr">
        <is>
          <t>独立留出题；首次归档前禁止据此调参或改切片</t>
        </is>
      </c>
    </row>
    <row r="26" ht="64" customHeight="1">
      <c r="A26" s="5" t="inlineStr">
        <is>
          <t>H024</t>
        </is>
      </c>
      <c r="B26" s="5" t="inlineStr">
        <is>
          <t>DOC004</t>
        </is>
      </c>
      <c r="C26" s="5" t="inlineStr">
        <is>
          <t>应急响应检查</t>
        </is>
      </c>
      <c r="D26" s="5" t="inlineStr">
        <is>
          <t>中等</t>
        </is>
      </c>
      <c r="E26" s="5" t="inlineStr">
        <is>
          <t>检查问答</t>
        </is>
      </c>
      <c r="F26" s="5" t="inlineStr">
        <is>
          <t>现场检查网络安全事件应急响应时，应查看哪些文件规定和活动记录？</t>
        </is>
      </c>
      <c r="G26" s="5" t="inlineStr">
        <is>
          <t>11.7.1</t>
        </is>
      </c>
      <c r="H26" s="5" t="inlineStr">
        <is>
          <t>查看应急响应文件是否规定网络安全事件风险管理、应急响应措施验证、用户告知和召回等活动；适用时现场抽查相关记录。</t>
        </is>
      </c>
      <c r="I26" s="5" t="inlineStr">
        <is>
          <t>已冻结</t>
        </is>
      </c>
      <c r="J26" s="5" t="inlineStr">
        <is>
          <t>独立留出题；首次归档前禁止据此调参或改切片</t>
        </is>
      </c>
    </row>
    <row r="27" ht="64" customHeight="1">
      <c r="A27" s="5" t="inlineStr">
        <is>
          <t>H025</t>
        </is>
      </c>
      <c r="B27" s="5" t="inlineStr">
        <is>
          <t>DOC005</t>
        </is>
      </c>
      <c r="C27" s="5" t="inlineStr">
        <is>
          <t>研发原始记录</t>
        </is>
      </c>
      <c r="D27" s="5" t="inlineStr">
        <is>
          <t>中等</t>
        </is>
      </c>
      <c r="E27" s="5" t="inlineStr">
        <is>
          <t>记录问答</t>
        </is>
      </c>
      <c r="F27" s="5" t="inlineStr">
        <is>
          <t>除直接输出的试验数据外，设计开发原始资料还应保留哪些辅助记录？</t>
        </is>
      </c>
      <c r="G27" s="5" t="inlineStr">
        <is>
          <t>4.4.2</t>
        </is>
      </c>
      <c r="H27" s="5" t="inlineStr">
        <is>
          <t>还应保留主要物料领用、仪器设备使用、称量、配制等辅助记录；开展临床试验时，还应保留试验器械或试剂的出库、储运、回收处置等记录。</t>
        </is>
      </c>
      <c r="I27" s="5" t="inlineStr">
        <is>
          <t>已冻结</t>
        </is>
      </c>
      <c r="J27" s="5" t="inlineStr">
        <is>
          <t>独立留出题；首次归档前禁止据此调参或改切片</t>
        </is>
      </c>
    </row>
    <row r="28" ht="64" customHeight="1">
      <c r="A28" s="5" t="inlineStr">
        <is>
          <t>H026</t>
        </is>
      </c>
      <c r="B28" s="5" t="inlineStr">
        <is>
          <t>DOC005</t>
        </is>
      </c>
      <c r="C28" s="5" t="inlineStr">
        <is>
          <t>验证原始资料</t>
        </is>
      </c>
      <c r="D28" s="5" t="inlineStr">
        <is>
          <t>基础</t>
        </is>
      </c>
      <c r="E28" s="5" t="inlineStr">
        <is>
          <t>记录问答</t>
        </is>
      </c>
      <c r="F28" s="5" t="inlineStr">
        <is>
          <t>设计和开发验证活动的详细原始数据资料应包括哪些内容？</t>
        </is>
      </c>
      <c r="G28" s="5" t="inlineStr">
        <is>
          <t>4.5.7</t>
        </is>
      </c>
      <c r="H28" s="5" t="inlineStr">
        <is>
          <t>应保存验证方案、验证报告、验证记录（如测试数据、样品处理记录）以及辅助记录等。</t>
        </is>
      </c>
      <c r="I28" s="5" t="inlineStr">
        <is>
          <t>已冻结</t>
        </is>
      </c>
      <c r="J28" s="5" t="inlineStr">
        <is>
          <t>独立留出题；首次归档前禁止据此调参或改切片</t>
        </is>
      </c>
    </row>
    <row r="29" ht="64" customHeight="1">
      <c r="A29" s="5" t="inlineStr">
        <is>
          <t>H027</t>
        </is>
      </c>
      <c r="B29" s="5" t="inlineStr">
        <is>
          <t>DOC005</t>
        </is>
      </c>
      <c r="C29" s="5" t="inlineStr">
        <is>
          <t>主要物料采购</t>
        </is>
      </c>
      <c r="D29" s="5" t="inlineStr">
        <is>
          <t>综合</t>
        </is>
      </c>
      <c r="E29" s="5" t="inlineStr">
        <is>
          <t>追溯问答</t>
        </is>
      </c>
      <c r="F29" s="5" t="inlineStr">
        <is>
          <t>主要原材料采购的时间、数量、合格证明和采购记录应满足哪些真实性与追溯要求？</t>
        </is>
      </c>
      <c r="G29" s="5" t="inlineStr">
        <is>
          <t>4.6.3—4.6.4</t>
        </is>
      </c>
      <c r="H29" s="5" t="inlineStr">
        <is>
          <t>购入或供货时间应与产品生产时间对应，数量满足生产需求，并有检验报告或合格证明；采购记录应符合产品设计需求和采购协议，做到真实、准确、完整和可追溯。</t>
        </is>
      </c>
      <c r="I29" s="5" t="inlineStr">
        <is>
          <t>已冻结</t>
        </is>
      </c>
      <c r="J29" s="5" t="inlineStr">
        <is>
          <t>独立留出题；首次归档前禁止据此调参或改切片</t>
        </is>
      </c>
    </row>
    <row r="30" ht="64" customHeight="1">
      <c r="A30" s="5" t="inlineStr">
        <is>
          <t>H028</t>
        </is>
      </c>
      <c r="B30" s="5" t="inlineStr">
        <is>
          <t>DOC005</t>
        </is>
      </c>
      <c r="C30" s="5" t="inlineStr">
        <is>
          <t>检验记录</t>
        </is>
      </c>
      <c r="D30" s="5" t="inlineStr">
        <is>
          <t>综合</t>
        </is>
      </c>
      <c r="E30" s="5" t="inlineStr">
        <is>
          <t>材料问答</t>
        </is>
      </c>
      <c r="F30" s="5" t="inlineStr">
        <is>
          <t>注册检验和临床试验相关产品应保存哪些检验资料，部分项目委托检验时还需提供什么？</t>
        </is>
      </c>
      <c r="G30" s="5" t="inlineStr">
        <is>
          <t>4.8.5</t>
        </is>
      </c>
      <c r="H30" s="5" t="inlineStr">
        <is>
          <t>应保存进货、过程和成品检验的原始记录、检验报告或证书，以及检验方法确认或验证记录；部分项目委托检验时，还应有相关项目检验报告和委托检验协议。</t>
        </is>
      </c>
      <c r="I30" s="5" t="inlineStr">
        <is>
          <t>已冻结</t>
        </is>
      </c>
      <c r="J30" s="5" t="inlineStr">
        <is>
          <t>独立留出题；首次归档前禁止据此调参或改切片</t>
        </is>
      </c>
    </row>
    <row r="31" ht="64" customHeight="1">
      <c r="A31" s="5" t="inlineStr">
        <is>
          <t>H029</t>
        </is>
      </c>
      <c r="B31" s="5" t="inlineStr">
        <is>
          <t>DOC005</t>
        </is>
      </c>
      <c r="C31" s="5" t="inlineStr">
        <is>
          <t>委托生产协议</t>
        </is>
      </c>
      <c r="D31" s="5" t="inlineStr">
        <is>
          <t>综合</t>
        </is>
      </c>
      <c r="E31" s="5" t="inlineStr">
        <is>
          <t>协议问答</t>
        </is>
      </c>
      <c r="F31" s="5" t="inlineStr">
        <is>
          <t>委托生产协议至少应覆盖哪些质量管理和过程控制事项？</t>
        </is>
      </c>
      <c r="G31" s="5" t="inlineStr">
        <is>
          <t>4.9.3</t>
        </is>
      </c>
      <c r="H31" s="5" t="inlineStr">
        <is>
          <t>至少包括受托方生产条件、技术文件转移、物料采购控制、生产工艺和过程控制、成品检验、产品放行、文件与记录、变更控制和质量管理体系审核，并明确双方权利、义务和责任。</t>
        </is>
      </c>
      <c r="I31" s="5" t="inlineStr">
        <is>
          <t>已冻结</t>
        </is>
      </c>
      <c r="J31" s="5" t="inlineStr">
        <is>
          <t>独立留出题；首次归档前禁止据此调参或改切片</t>
        </is>
      </c>
    </row>
    <row r="32" ht="64" customHeight="1">
      <c r="A32" s="5" t="inlineStr">
        <is>
          <t>H030</t>
        </is>
      </c>
      <c r="B32" s="5" t="inlineStr">
        <is>
          <t>DOC005</t>
        </is>
      </c>
      <c r="C32" s="5" t="inlineStr">
        <is>
          <t>委托生产沟通</t>
        </is>
      </c>
      <c r="D32" s="5" t="inlineStr">
        <is>
          <t>综合</t>
        </is>
      </c>
      <c r="E32" s="5" t="inlineStr">
        <is>
          <t>场景问答</t>
        </is>
      </c>
      <c r="F32" s="5" t="inlineStr">
        <is>
          <t>委托生产过程中发生设计、采购或受托方质量体系变更时，双方应如何沟通和评估？</t>
        </is>
      </c>
      <c r="G32" s="5" t="inlineStr">
        <is>
          <t>4.9.14</t>
        </is>
      </c>
      <c r="H32" s="5" t="inlineStr">
        <is>
          <t>申请人与受托方应建立有效沟通机制；设计、采购等变更应及时通知受托方并监督执行。受托方质量体系发生可能影响产品质量的变更时，应及时告知申请人并开展联合评估。</t>
        </is>
      </c>
      <c r="I32" s="5" t="inlineStr">
        <is>
          <t>已冻结</t>
        </is>
      </c>
      <c r="J32" s="5" t="inlineStr">
        <is>
          <t>独立留出题；首次归档前禁止据此调参或改切片</t>
        </is>
      </c>
    </row>
  </sheetData>
  <autoFilter ref="A2:J32"/>
  <mergeCells count="1">
    <mergeCell ref="A1:J1"/>
  </mergeCells>
  <dataValidations count="1">
    <dataValidation sqref="I3:I32" showDropDown="0" showInputMessage="0" showErrorMessage="0" allowBlank="0" type="list">
      <formula1>"已冻结,已完成"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34" customWidth="1" min="4" max="4"/>
    <col width="18" customWidth="1" min="5" max="5"/>
    <col width="3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3" customWidth="1" min="12" max="12"/>
    <col width="15" customWidth="1" min="13" max="13"/>
    <col width="15" customWidth="1" min="14" max="14"/>
    <col width="42" customWidth="1" min="15" max="15"/>
  </cols>
  <sheetData>
    <row r="1" ht="32" customHeight="1">
      <c r="A1" s="1" t="inlineStr">
        <is>
          <t>RAGFlow独立留出集检索与回答评测记录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8" customHeight="1">
      <c r="A2" s="4" t="inlineStr">
        <is>
          <t>问题ID</t>
        </is>
      </c>
      <c r="B2" s="4" t="inlineStr">
        <is>
          <t>评测问题</t>
        </is>
      </c>
      <c r="C2" s="4" t="inlineStr">
        <is>
          <t>预期文档</t>
        </is>
      </c>
      <c r="D2" s="4" t="inlineStr">
        <is>
          <t>预期定位</t>
        </is>
      </c>
      <c r="E2" s="4" t="inlineStr">
        <is>
          <t>实际Top1文档</t>
        </is>
      </c>
      <c r="F2" s="4" t="inlineStr">
        <is>
          <t>实际Top1定位</t>
        </is>
      </c>
      <c r="G2" s="4" t="inlineStr">
        <is>
          <t>Top1命中</t>
        </is>
      </c>
      <c r="H2" s="4" t="inlineStr">
        <is>
          <t>Top3命中</t>
        </is>
      </c>
      <c r="I2" s="4" t="inlineStr">
        <is>
          <t>引用正确</t>
        </is>
      </c>
      <c r="J2" s="4" t="inlineStr">
        <is>
          <t>回答准确度(0-2)</t>
        </is>
      </c>
      <c r="K2" s="4" t="inlineStr">
        <is>
          <t>是否幻觉</t>
        </is>
      </c>
      <c r="L2" s="4" t="inlineStr">
        <is>
          <t>测试状态</t>
        </is>
      </c>
      <c r="M2" s="4" t="inlineStr">
        <is>
          <t>综合得分</t>
        </is>
      </c>
      <c r="N2" s="4" t="inlineStr">
        <is>
          <t>测试日期</t>
        </is>
      </c>
      <c r="O2" s="4" t="inlineStr">
        <is>
          <t>备注</t>
        </is>
      </c>
    </row>
    <row r="3" ht="58" customHeight="1">
      <c r="A3" s="5" t="inlineStr">
        <is>
          <t>H001</t>
        </is>
      </c>
      <c r="B3" s="5" t="inlineStr">
        <is>
          <t>软件发布版本与软件完整版本分别反映哪些更新类型，它们发生变化时注册处理有何不同？</t>
        </is>
      </c>
      <c r="C3" s="5" t="inlineStr">
        <is>
          <t>DOC001</t>
        </is>
      </c>
      <c r="D3" s="5" t="inlineStr">
        <is>
          <t>二、主要概念（七）软件版本</t>
        </is>
      </c>
      <c r="E3" s="5" t="n"/>
      <c r="F3" s="5" t="n"/>
      <c r="G3" s="5" t="n"/>
      <c r="H3" s="5" t="n"/>
      <c r="I3" s="5" t="n"/>
      <c r="J3" s="5" t="n"/>
      <c r="K3" s="5" t="n"/>
      <c r="L3" s="5" t="inlineStr">
        <is>
          <t>待测试</t>
        </is>
      </c>
      <c r="M3" s="5">
        <f>IF(L3&lt;&gt;"已完成","",IF(G3=1,2,IF(H3=1,1,0))+I3+J3*2-K3*2)</f>
        <v/>
      </c>
      <c r="N3" s="5" t="n"/>
      <c r="O3" s="5" t="n"/>
    </row>
    <row r="4" ht="58" customHeight="1">
      <c r="A4" s="5" t="inlineStr">
        <is>
          <t>H002</t>
        </is>
      </c>
      <c r="B4" s="5" t="inlineStr">
        <is>
          <t>软件算法、软件功能和软件用途之间是什么关系，为什么以软件功能作为安全有效性评价主线？</t>
        </is>
      </c>
      <c r="C4" s="5" t="inlineStr">
        <is>
          <t>DOC001</t>
        </is>
      </c>
      <c r="D4" s="5" t="inlineStr">
        <is>
          <t>二、主要概念（八）软件算法、软件功能、软件用途</t>
        </is>
      </c>
      <c r="E4" s="5" t="n"/>
      <c r="F4" s="5" t="n"/>
      <c r="G4" s="5" t="n"/>
      <c r="H4" s="5" t="n"/>
      <c r="I4" s="5" t="n"/>
      <c r="J4" s="5" t="n"/>
      <c r="K4" s="5" t="n"/>
      <c r="L4" s="5" t="inlineStr">
        <is>
          <t>待测试</t>
        </is>
      </c>
      <c r="M4" s="5">
        <f>IF(L4&lt;&gt;"已完成","",IF(G4=1,2,IF(H4=1,1,0))+I4+J4*2-K4*2)</f>
        <v/>
      </c>
      <c r="N4" s="5" t="n"/>
      <c r="O4" s="5" t="n"/>
    </row>
    <row r="5" ht="58" customHeight="1">
      <c r="A5" s="5" t="inlineStr">
        <is>
          <t>H003</t>
        </is>
      </c>
      <c r="B5" s="5" t="inlineStr">
        <is>
          <t>独立软件注册单元应依据哪些原则划分，管理类别不同但技术上无法拆分时如何申报？</t>
        </is>
      </c>
      <c r="C5" s="5" t="inlineStr">
        <is>
          <t>DOC001</t>
        </is>
      </c>
      <c r="D5" s="5" t="inlineStr">
        <is>
          <t>七、技术考量（一）注册单元与检测单元｜1.注册单元划分原则</t>
        </is>
      </c>
      <c r="E5" s="5" t="n"/>
      <c r="F5" s="5" t="n"/>
      <c r="G5" s="5" t="n"/>
      <c r="H5" s="5" t="n"/>
      <c r="I5" s="5" t="n"/>
      <c r="J5" s="5" t="n"/>
      <c r="K5" s="5" t="n"/>
      <c r="L5" s="5" t="inlineStr">
        <is>
          <t>待测试</t>
        </is>
      </c>
      <c r="M5" s="5">
        <f>IF(L5&lt;&gt;"已完成","",IF(G5=1,2,IF(H5=1,1,0))+I5+J5*2-K5*2)</f>
        <v/>
      </c>
      <c r="N5" s="5" t="n"/>
      <c r="O5" s="5" t="n"/>
    </row>
    <row r="6" ht="58" customHeight="1">
      <c r="A6" s="5" t="inlineStr">
        <is>
          <t>H004</t>
        </is>
      </c>
      <c r="B6" s="5" t="inlineStr">
        <is>
          <t>同一独立软件存在多个运行环境、多个发布版本或不同类型核心算法时，检测单元应如何划分？</t>
        </is>
      </c>
      <c r="C6" s="5" t="inlineStr">
        <is>
          <t>DOC001</t>
        </is>
      </c>
      <c r="D6" s="5" t="inlineStr">
        <is>
          <t>七、技术考量（一）注册单元与检测单元｜2.检测单元划分原则</t>
        </is>
      </c>
      <c r="E6" s="5" t="n"/>
      <c r="F6" s="5" t="n"/>
      <c r="G6" s="5" t="n"/>
      <c r="H6" s="5" t="n"/>
      <c r="I6" s="5" t="n"/>
      <c r="J6" s="5" t="n"/>
      <c r="K6" s="5" t="n"/>
      <c r="L6" s="5" t="inlineStr">
        <is>
          <t>待测试</t>
        </is>
      </c>
      <c r="M6" s="5">
        <f>IF(L6&lt;&gt;"已完成","",IF(G6=1,2,IF(H6=1,1,0))+I6+J6*2-K6*2)</f>
        <v/>
      </c>
      <c r="N6" s="5" t="n"/>
      <c r="O6" s="5" t="n"/>
    </row>
    <row r="7" ht="58" customHeight="1">
      <c r="A7" s="5" t="inlineStr">
        <is>
          <t>H005</t>
        </is>
      </c>
      <c r="B7" s="5" t="inlineStr">
        <is>
          <t>医疗器械软件使用云计算时，应明确哪些技术特征，并如何控制云服务商及服务终止风险？</t>
        </is>
      </c>
      <c r="C7" s="5" t="inlineStr">
        <is>
          <t>DOC001</t>
        </is>
      </c>
      <c r="D7" s="5" t="inlineStr">
        <is>
          <t>七、技术考量（四）云计算</t>
        </is>
      </c>
      <c r="E7" s="5" t="n"/>
      <c r="F7" s="5" t="n"/>
      <c r="G7" s="5" t="n"/>
      <c r="H7" s="5" t="n"/>
      <c r="I7" s="5" t="n"/>
      <c r="J7" s="5" t="n"/>
      <c r="K7" s="5" t="n"/>
      <c r="L7" s="5" t="inlineStr">
        <is>
          <t>待测试</t>
        </is>
      </c>
      <c r="M7" s="5">
        <f>IF(L7&lt;&gt;"已完成","",IF(G7=1,2,IF(H7=1,1,0))+I7+J7*2-K7*2)</f>
        <v/>
      </c>
      <c r="N7" s="5" t="n"/>
      <c r="O7" s="5" t="n"/>
    </row>
    <row r="8" ht="58" customHeight="1">
      <c r="A8" s="5" t="inlineStr">
        <is>
          <t>H006</t>
        </is>
      </c>
      <c r="B8" s="5" t="inlineStr">
        <is>
          <t>对于具有互操作性的软件接口，说明书和标签分别应披露哪些信息？</t>
        </is>
      </c>
      <c r="C8" s="5" t="inlineStr">
        <is>
          <t>DOC001</t>
        </is>
      </c>
      <c r="D8" s="5" t="inlineStr">
        <is>
          <t>七、技术考量（八）互操作性</t>
        </is>
      </c>
      <c r="E8" s="5" t="n"/>
      <c r="F8" s="5" t="n"/>
      <c r="G8" s="5" t="n"/>
      <c r="H8" s="5" t="n"/>
      <c r="I8" s="5" t="n"/>
      <c r="J8" s="5" t="n"/>
      <c r="K8" s="5" t="n"/>
      <c r="L8" s="5" t="inlineStr">
        <is>
          <t>待测试</t>
        </is>
      </c>
      <c r="M8" s="5">
        <f>IF(L8&lt;&gt;"已完成","",IF(G8=1,2,IF(H8=1,1,0))+I8+J8*2-K8*2)</f>
        <v/>
      </c>
      <c r="N8" s="5" t="n"/>
      <c r="O8" s="5" t="n"/>
    </row>
    <row r="9" ht="58" customHeight="1">
      <c r="A9" s="5" t="inlineStr">
        <is>
          <t>H007</t>
        </is>
      </c>
      <c r="B9" s="5" t="inlineStr">
        <is>
          <t>网络安全验证与确认可采用哪些典型活动，并应如何针对不同网络威胁选择技术手段？</t>
        </is>
      </c>
      <c r="C9" s="5" t="inlineStr">
        <is>
          <t>DOC002</t>
        </is>
      </c>
      <c r="D9" s="5" t="inlineStr">
        <is>
          <t>二、主要概念（五）网络安全验证与确认</t>
        </is>
      </c>
      <c r="E9" s="5" t="n"/>
      <c r="F9" s="5" t="n"/>
      <c r="G9" s="5" t="n"/>
      <c r="H9" s="5" t="n"/>
      <c r="I9" s="5" t="n"/>
      <c r="J9" s="5" t="n"/>
      <c r="K9" s="5" t="n"/>
      <c r="L9" s="5" t="inlineStr">
        <is>
          <t>待测试</t>
        </is>
      </c>
      <c r="M9" s="5">
        <f>IF(L9&lt;&gt;"已完成","",IF(G9=1,2,IF(H9=1,1,0))+I9+J9*2-K9*2)</f>
        <v/>
      </c>
      <c r="N9" s="5" t="n"/>
      <c r="O9" s="5" t="n"/>
    </row>
    <row r="10" ht="58" customHeight="1">
      <c r="A10" s="5" t="inlineStr">
        <is>
          <t>H008</t>
        </is>
      </c>
      <c r="B10" s="5" t="inlineStr">
        <is>
          <t>网络安全可追溯性分析需要追踪哪些对象，并评价这些关系的哪些属性？</t>
        </is>
      </c>
      <c r="C10" s="5" t="inlineStr">
        <is>
          <t>DOC002</t>
        </is>
      </c>
      <c r="D10" s="5" t="inlineStr">
        <is>
          <t>二、主要概念（六）网络安全可追溯性分析</t>
        </is>
      </c>
      <c r="E10" s="5" t="n"/>
      <c r="F10" s="5" t="n"/>
      <c r="G10" s="5" t="n"/>
      <c r="H10" s="5" t="n"/>
      <c r="I10" s="5" t="n"/>
      <c r="J10" s="5" t="n"/>
      <c r="K10" s="5" t="n"/>
      <c r="L10" s="5" t="inlineStr">
        <is>
          <t>待测试</t>
        </is>
      </c>
      <c r="M10" s="5">
        <f>IF(L10&lt;&gt;"已完成","",IF(G10=1,2,IF(H10=1,1,0))+I10+J10*2-K10*2)</f>
        <v/>
      </c>
      <c r="N10" s="5" t="n"/>
      <c r="O10" s="5" t="n"/>
    </row>
    <row r="11" ht="58" customHeight="1">
      <c r="A11" s="5" t="inlineStr">
        <is>
          <t>H009</t>
        </is>
      </c>
      <c r="B11" s="5" t="inlineStr">
        <is>
          <t>网络安全事件应急响应预案应覆盖哪些阶段，事件发生后还需开展哪些管理活动？</t>
        </is>
      </c>
      <c r="C11" s="5" t="inlineStr">
        <is>
          <t>DOC002</t>
        </is>
      </c>
      <c r="D11" s="5" t="inlineStr">
        <is>
          <t>二、主要概念（七）网络安全事件应急响应</t>
        </is>
      </c>
      <c r="E11" s="5" t="n"/>
      <c r="F11" s="5" t="n"/>
      <c r="G11" s="5" t="n"/>
      <c r="H11" s="5" t="n"/>
      <c r="I11" s="5" t="n"/>
      <c r="J11" s="5" t="n"/>
      <c r="K11" s="5" t="n"/>
      <c r="L11" s="5" t="inlineStr">
        <is>
          <t>待测试</t>
        </is>
      </c>
      <c r="M11" s="5">
        <f>IF(L11&lt;&gt;"已完成","",IF(G11=1,2,IF(H11=1,1,0))+I11+J11*2-K11*2)</f>
        <v/>
      </c>
      <c r="N11" s="5" t="n"/>
      <c r="O11" s="5" t="n"/>
    </row>
    <row r="12" ht="58" customHeight="1">
      <c r="A12" s="5" t="inlineStr">
        <is>
          <t>H010</t>
        </is>
      </c>
      <c r="B12" s="5" t="inlineStr">
        <is>
          <t>医疗器械与非预期设备或系统连接时，注册申请人的网络安全责任是否可以免除，应持续履行哪些职责？</t>
        </is>
      </c>
      <c r="C12" s="5" t="inlineStr">
        <is>
          <t>DOC002</t>
        </is>
      </c>
      <c r="D12" s="5" t="inlineStr">
        <is>
          <t>三、基本原则（一）网络安全定位</t>
        </is>
      </c>
      <c r="E12" s="5" t="n"/>
      <c r="F12" s="5" t="n"/>
      <c r="G12" s="5" t="n"/>
      <c r="H12" s="5" t="n"/>
      <c r="I12" s="5" t="n"/>
      <c r="J12" s="5" t="n"/>
      <c r="K12" s="5" t="n"/>
      <c r="L12" s="5" t="inlineStr">
        <is>
          <t>待测试</t>
        </is>
      </c>
      <c r="M12" s="5">
        <f>IF(L12&lt;&gt;"已完成","",IF(G12=1,2,IF(H12=1,1,0))+I12+J12*2-K12*2)</f>
        <v/>
      </c>
      <c r="N12" s="5" t="n"/>
      <c r="O12" s="5" t="n"/>
    </row>
    <row r="13" ht="58" customHeight="1">
      <c r="A13" s="5" t="inlineStr">
        <is>
          <t>H011</t>
        </is>
      </c>
      <c r="B13" s="5" t="inlineStr">
        <is>
          <t>现成软件组件与外部软件环境的网络安全关注重点有何不同，外部软件环境补丁应如何控制？</t>
        </is>
      </c>
      <c r="C13" s="5" t="inlineStr">
        <is>
          <t>DOC002</t>
        </is>
      </c>
      <c r="D13" s="5" t="inlineStr">
        <is>
          <t>五、技术考量（一）现成软件</t>
        </is>
      </c>
      <c r="E13" s="5" t="n"/>
      <c r="F13" s="5" t="n"/>
      <c r="G13" s="5" t="n"/>
      <c r="H13" s="5" t="n"/>
      <c r="I13" s="5" t="n"/>
      <c r="J13" s="5" t="n"/>
      <c r="K13" s="5" t="n"/>
      <c r="L13" s="5" t="inlineStr">
        <is>
          <t>待测试</t>
        </is>
      </c>
      <c r="M13" s="5">
        <f>IF(L13&lt;&gt;"已完成","",IF(G13=1,2,IF(H13=1,1,0))+I13+J13*2-K13*2)</f>
        <v/>
      </c>
      <c r="N13" s="5" t="n"/>
      <c r="O13" s="5" t="n"/>
    </row>
    <row r="14" ht="58" customHeight="1">
      <c r="A14" s="5" t="inlineStr">
        <is>
          <t>H012</t>
        </is>
      </c>
      <c r="B14" s="5" t="inlineStr">
        <is>
          <t>境内收集和产生的医疗数据确需向境外提供时，应遵循什么存储与安全评估原则？</t>
        </is>
      </c>
      <c r="C14" s="5" t="inlineStr">
        <is>
          <t>DOC002</t>
        </is>
      </c>
      <c r="D14" s="5" t="inlineStr">
        <is>
          <t>五、技术考量（二）医疗数据出境</t>
        </is>
      </c>
      <c r="E14" s="5" t="n"/>
      <c r="F14" s="5" t="n"/>
      <c r="G14" s="5" t="n"/>
      <c r="H14" s="5" t="n"/>
      <c r="I14" s="5" t="n"/>
      <c r="J14" s="5" t="n"/>
      <c r="K14" s="5" t="n"/>
      <c r="L14" s="5" t="inlineStr">
        <is>
          <t>待测试</t>
        </is>
      </c>
      <c r="M14" s="5">
        <f>IF(L14&lt;&gt;"已完成","",IF(G14=1,2,IF(H14=1,1,0))+I14+J14*2-K14*2)</f>
        <v/>
      </c>
      <c r="N14" s="5" t="n"/>
      <c r="O14" s="5" t="n"/>
    </row>
    <row r="15" ht="58" customHeight="1">
      <c r="A15" s="5" t="inlineStr">
        <is>
          <t>H013</t>
        </is>
      </c>
      <c r="B15" s="5" t="inlineStr">
        <is>
          <t>软件风险管理应识别和控制哪些方面的风险，并在生存周期中如何实施？</t>
        </is>
      </c>
      <c r="C15" s="5" t="inlineStr">
        <is>
          <t>DOC003</t>
        </is>
      </c>
      <c r="D15" s="5" t="inlineStr">
        <is>
          <t>2.3.3</t>
        </is>
      </c>
      <c r="E15" s="5" t="n"/>
      <c r="F15" s="5" t="n"/>
      <c r="G15" s="5" t="n"/>
      <c r="H15" s="5" t="n"/>
      <c r="I15" s="5" t="n"/>
      <c r="J15" s="5" t="n"/>
      <c r="K15" s="5" t="n"/>
      <c r="L15" s="5" t="inlineStr">
        <is>
          <t>待测试</t>
        </is>
      </c>
      <c r="M15" s="5">
        <f>IF(L15&lt;&gt;"已完成","",IF(G15=1,2,IF(H15=1,1,0))+I15+J15*2-K15*2)</f>
        <v/>
      </c>
      <c r="N15" s="5" t="n"/>
      <c r="O15" s="5" t="n"/>
    </row>
    <row r="16" ht="58" customHeight="1">
      <c r="A16" s="5" t="inlineStr">
        <is>
          <t>H014</t>
        </is>
      </c>
      <c r="B16" s="5" t="inlineStr">
        <is>
          <t>软件配置管理程序和版本命名规则分别需要控制哪些内容？</t>
        </is>
      </c>
      <c r="C16" s="5" t="inlineStr">
        <is>
          <t>DOC003</t>
        </is>
      </c>
      <c r="D16" s="5" t="inlineStr">
        <is>
          <t>2.3.4—2.3.5</t>
        </is>
      </c>
      <c r="E16" s="5" t="n"/>
      <c r="F16" s="5" t="n"/>
      <c r="G16" s="5" t="n"/>
      <c r="H16" s="5" t="n"/>
      <c r="I16" s="5" t="n"/>
      <c r="J16" s="5" t="n"/>
      <c r="K16" s="5" t="n"/>
      <c r="L16" s="5" t="inlineStr">
        <is>
          <t>待测试</t>
        </is>
      </c>
      <c r="M16" s="5">
        <f>IF(L16&lt;&gt;"已完成","",IF(G16=1,2,IF(H16=1,1,0))+I16+J16*2-K16*2)</f>
        <v/>
      </c>
      <c r="N16" s="5" t="n"/>
      <c r="O16" s="5" t="n"/>
    </row>
    <row r="17" ht="58" customHeight="1">
      <c r="A17" s="5" t="inlineStr">
        <is>
          <t>H015</t>
        </is>
      </c>
      <c r="B17" s="5" t="inlineStr">
        <is>
          <t>现成软件使用文件应规定哪些活动，遗留软件和开源软件还需满足什么附加要求？</t>
        </is>
      </c>
      <c r="C17" s="5" t="inlineStr">
        <is>
          <t>DOC003</t>
        </is>
      </c>
      <c r="D17" s="5" t="inlineStr">
        <is>
          <t>2.3.7</t>
        </is>
      </c>
      <c r="E17" s="5" t="n"/>
      <c r="F17" s="5" t="n"/>
      <c r="G17" s="5" t="n"/>
      <c r="H17" s="5" t="n"/>
      <c r="I17" s="5" t="n"/>
      <c r="J17" s="5" t="n"/>
      <c r="K17" s="5" t="n"/>
      <c r="L17" s="5" t="inlineStr">
        <is>
          <t>待测试</t>
        </is>
      </c>
      <c r="M17" s="5">
        <f>IF(L17&lt;&gt;"已完成","",IF(G17=1,2,IF(H17=1,1,0))+I17+J17*2-K17*2)</f>
        <v/>
      </c>
      <c r="N17" s="5" t="n"/>
      <c r="O17" s="5" t="n"/>
    </row>
    <row r="18" ht="58" customHeight="1">
      <c r="A18" s="5" t="inlineStr">
        <is>
          <t>H016</t>
        </is>
      </c>
      <c r="B18" s="5" t="inlineStr">
        <is>
          <t>用户测试应在何种环境实施，需要形成哪些输出并分析哪些追溯关系？</t>
        </is>
      </c>
      <c r="C18" s="5" t="inlineStr">
        <is>
          <t>DOC003</t>
        </is>
      </c>
      <c r="D18" s="5" t="inlineStr">
        <is>
          <t>2.3.15</t>
        </is>
      </c>
      <c r="E18" s="5" t="n"/>
      <c r="F18" s="5" t="n"/>
      <c r="G18" s="5" t="n"/>
      <c r="H18" s="5" t="n"/>
      <c r="I18" s="5" t="n"/>
      <c r="J18" s="5" t="n"/>
      <c r="K18" s="5" t="n"/>
      <c r="L18" s="5" t="inlineStr">
        <is>
          <t>待测试</t>
        </is>
      </c>
      <c r="M18" s="5">
        <f>IF(L18&lt;&gt;"已完成","",IF(G18=1,2,IF(H18=1,1,0))+I18+J18*2-K18*2)</f>
        <v/>
      </c>
      <c r="N18" s="5" t="n"/>
      <c r="O18" s="5" t="n"/>
    </row>
    <row r="19" ht="58" customHeight="1">
      <c r="A19" s="5" t="inlineStr">
        <is>
          <t>H017</t>
        </is>
      </c>
      <c r="B19" s="5" t="inlineStr">
        <is>
          <t>软件发布应控制哪些活动，物理交付与网络交付的要求有何不同？</t>
        </is>
      </c>
      <c r="C19" s="5" t="inlineStr">
        <is>
          <t>DOC003</t>
        </is>
      </c>
      <c r="D19" s="5" t="inlineStr">
        <is>
          <t>2.5.1—2.5.2</t>
        </is>
      </c>
      <c r="E19" s="5" t="n"/>
      <c r="F19" s="5" t="n"/>
      <c r="G19" s="5" t="n"/>
      <c r="H19" s="5" t="n"/>
      <c r="I19" s="5" t="n"/>
      <c r="J19" s="5" t="n"/>
      <c r="K19" s="5" t="n"/>
      <c r="L19" s="5" t="inlineStr">
        <is>
          <t>待测试</t>
        </is>
      </c>
      <c r="M19" s="5">
        <f>IF(L19&lt;&gt;"已完成","",IF(G19=1,2,IF(H19=1,1,0))+I19+J19*2-K19*2)</f>
        <v/>
      </c>
      <c r="N19" s="5" t="n"/>
      <c r="O19" s="5" t="n"/>
    </row>
    <row r="20" ht="58" customHeight="1">
      <c r="A20" s="5" t="inlineStr">
        <is>
          <t>H018</t>
        </is>
      </c>
      <c r="B20" s="5" t="inlineStr">
        <is>
          <t>网络安全事件应急响应文件应规定哪些活动并保留什么证据？</t>
        </is>
      </c>
      <c r="C20" s="5" t="inlineStr">
        <is>
          <t>DOC003</t>
        </is>
      </c>
      <c r="D20" s="5" t="inlineStr">
        <is>
          <t>2.8.2</t>
        </is>
      </c>
      <c r="E20" s="5" t="n"/>
      <c r="F20" s="5" t="n"/>
      <c r="G20" s="5" t="n"/>
      <c r="H20" s="5" t="n"/>
      <c r="I20" s="5" t="n"/>
      <c r="J20" s="5" t="n"/>
      <c r="K20" s="5" t="n"/>
      <c r="L20" s="5" t="inlineStr">
        <is>
          <t>待测试</t>
        </is>
      </c>
      <c r="M20" s="5">
        <f>IF(L20&lt;&gt;"已完成","",IF(G20=1,2,IF(H20=1,1,0))+I20+J20*2-K20*2)</f>
        <v/>
      </c>
      <c r="N20" s="5" t="n"/>
      <c r="O20" s="5" t="n"/>
    </row>
    <row r="21" ht="58" customHeight="1">
      <c r="A21" s="5" t="inlineStr">
        <is>
          <t>H019</t>
        </is>
      </c>
      <c r="B21" s="5" t="inlineStr">
        <is>
          <t>现场检查用户测试人员能力时，应核实什么要求并查看哪些证明材料？</t>
        </is>
      </c>
      <c r="C21" s="5" t="inlineStr">
        <is>
          <t>DOC004</t>
        </is>
      </c>
      <c r="D21" s="5" t="inlineStr">
        <is>
          <t>1.9.1</t>
        </is>
      </c>
      <c r="E21" s="5" t="n"/>
      <c r="F21" s="5" t="n"/>
      <c r="G21" s="5" t="n"/>
      <c r="H21" s="5" t="n"/>
      <c r="I21" s="5" t="n"/>
      <c r="J21" s="5" t="n"/>
      <c r="K21" s="5" t="n"/>
      <c r="L21" s="5" t="inlineStr">
        <is>
          <t>待测试</t>
        </is>
      </c>
      <c r="M21" s="5">
        <f>IF(L21&lt;&gt;"已完成","",IF(G21=1,2,IF(H21=1,1,0))+I21+J21*2-K21*2)</f>
        <v/>
      </c>
      <c r="N21" s="5" t="n"/>
      <c r="O21" s="5" t="n"/>
    </row>
    <row r="22" ht="58" customHeight="1">
      <c r="A22" s="5" t="inlineStr">
        <is>
          <t>H020</t>
        </is>
      </c>
      <c r="B22" s="5" t="inlineStr">
        <is>
          <t>现场检查质量体系文件控制时，应确认哪些文件生命周期活动和防误用措施？</t>
        </is>
      </c>
      <c r="C22" s="5" t="inlineStr">
        <is>
          <t>DOC004</t>
        </is>
      </c>
      <c r="D22" s="5" t="inlineStr">
        <is>
          <t>4.2.2—4.2.4</t>
        </is>
      </c>
      <c r="E22" s="5" t="n"/>
      <c r="F22" s="5" t="n"/>
      <c r="G22" s="5" t="n"/>
      <c r="H22" s="5" t="n"/>
      <c r="I22" s="5" t="n"/>
      <c r="J22" s="5" t="n"/>
      <c r="K22" s="5" t="n"/>
      <c r="L22" s="5" t="inlineStr">
        <is>
          <t>待测试</t>
        </is>
      </c>
      <c r="M22" s="5">
        <f>IF(L22&lt;&gt;"已完成","",IF(G22=1,2,IF(H22=1,1,0))+I22+J22*2-K22*2)</f>
        <v/>
      </c>
      <c r="N22" s="5" t="n"/>
      <c r="O22" s="5" t="n"/>
    </row>
    <row r="23" ht="58" customHeight="1">
      <c r="A23" s="5" t="inlineStr">
        <is>
          <t>H021</t>
        </is>
      </c>
      <c r="B23" s="5" t="inlineStr">
        <is>
          <t>现场检查软件设计活动时，应查看哪些文件、记录和可追溯关系？</t>
        </is>
      </c>
      <c r="C23" s="5" t="inlineStr">
        <is>
          <t>DOC004</t>
        </is>
      </c>
      <c r="D23" s="5" t="inlineStr">
        <is>
          <t>5.10.1</t>
        </is>
      </c>
      <c r="E23" s="5" t="n"/>
      <c r="F23" s="5" t="n"/>
      <c r="G23" s="5" t="n"/>
      <c r="H23" s="5" t="n"/>
      <c r="I23" s="5" t="n"/>
      <c r="J23" s="5" t="n"/>
      <c r="K23" s="5" t="n"/>
      <c r="L23" s="5" t="inlineStr">
        <is>
          <t>待测试</t>
        </is>
      </c>
      <c r="M23" s="5">
        <f>IF(L23&lt;&gt;"已完成","",IF(G23=1,2,IF(H23=1,1,0))+I23+J23*2-K23*2)</f>
        <v/>
      </c>
      <c r="N23" s="5" t="n"/>
      <c r="O23" s="5" t="n"/>
    </row>
    <row r="24" ht="58" customHeight="1">
      <c r="A24" s="5" t="inlineStr">
        <is>
          <t>H022</t>
        </is>
      </c>
      <c r="B24" s="5" t="inlineStr">
        <is>
          <t>企业使用云计算服务时，现场检查质量协议应确认哪些责任承担要求？</t>
        </is>
      </c>
      <c r="C24" s="5" t="inlineStr">
        <is>
          <t>DOC004</t>
        </is>
      </c>
      <c r="D24" s="5" t="inlineStr">
        <is>
          <t>6.6.1</t>
        </is>
      </c>
      <c r="E24" s="5" t="n"/>
      <c r="F24" s="5" t="n"/>
      <c r="G24" s="5" t="n"/>
      <c r="H24" s="5" t="n"/>
      <c r="I24" s="5" t="n"/>
      <c r="J24" s="5" t="n"/>
      <c r="K24" s="5" t="n"/>
      <c r="L24" s="5" t="inlineStr">
        <is>
          <t>待测试</t>
        </is>
      </c>
      <c r="M24" s="5">
        <f>IF(L24&lt;&gt;"已完成","",IF(G24=1,2,IF(H24=1,1,0))+I24+J24*2-K24*2)</f>
        <v/>
      </c>
      <c r="N24" s="5" t="n"/>
      <c r="O24" s="5" t="n"/>
    </row>
    <row r="25" ht="58" customHeight="1">
      <c r="A25" s="5" t="inlineStr">
        <is>
          <t>H023</t>
        </is>
      </c>
      <c r="B25" s="5" t="inlineStr">
        <is>
          <t>现场检查软件发布与交付时，应核实哪些文件、记录以及物理和网络交付要求？</t>
        </is>
      </c>
      <c r="C25" s="5" t="inlineStr">
        <is>
          <t>DOC004</t>
        </is>
      </c>
      <c r="D25" s="5" t="inlineStr">
        <is>
          <t>7.2.1—7.3.1</t>
        </is>
      </c>
      <c r="E25" s="5" t="n"/>
      <c r="F25" s="5" t="n"/>
      <c r="G25" s="5" t="n"/>
      <c r="H25" s="5" t="n"/>
      <c r="I25" s="5" t="n"/>
      <c r="J25" s="5" t="n"/>
      <c r="K25" s="5" t="n"/>
      <c r="L25" s="5" t="inlineStr">
        <is>
          <t>待测试</t>
        </is>
      </c>
      <c r="M25" s="5">
        <f>IF(L25&lt;&gt;"已完成","",IF(G25=1,2,IF(H25=1,1,0))+I25+J25*2-K25*2)</f>
        <v/>
      </c>
      <c r="N25" s="5" t="n"/>
      <c r="O25" s="5" t="n"/>
    </row>
    <row r="26" ht="58" customHeight="1">
      <c r="A26" s="5" t="inlineStr">
        <is>
          <t>H024</t>
        </is>
      </c>
      <c r="B26" s="5" t="inlineStr">
        <is>
          <t>现场检查网络安全事件应急响应时，应查看哪些文件规定和活动记录？</t>
        </is>
      </c>
      <c r="C26" s="5" t="inlineStr">
        <is>
          <t>DOC004</t>
        </is>
      </c>
      <c r="D26" s="5" t="inlineStr">
        <is>
          <t>11.7.1</t>
        </is>
      </c>
      <c r="E26" s="5" t="n"/>
      <c r="F26" s="5" t="n"/>
      <c r="G26" s="5" t="n"/>
      <c r="H26" s="5" t="n"/>
      <c r="I26" s="5" t="n"/>
      <c r="J26" s="5" t="n"/>
      <c r="K26" s="5" t="n"/>
      <c r="L26" s="5" t="inlineStr">
        <is>
          <t>待测试</t>
        </is>
      </c>
      <c r="M26" s="5">
        <f>IF(L26&lt;&gt;"已完成","",IF(G26=1,2,IF(H26=1,1,0))+I26+J26*2-K26*2)</f>
        <v/>
      </c>
      <c r="N26" s="5" t="n"/>
      <c r="O26" s="5" t="n"/>
    </row>
    <row r="27" ht="58" customHeight="1">
      <c r="A27" s="5" t="inlineStr">
        <is>
          <t>H025</t>
        </is>
      </c>
      <c r="B27" s="5" t="inlineStr">
        <is>
          <t>除直接输出的试验数据外，设计开发原始资料还应保留哪些辅助记录？</t>
        </is>
      </c>
      <c r="C27" s="5" t="inlineStr">
        <is>
          <t>DOC005</t>
        </is>
      </c>
      <c r="D27" s="5" t="inlineStr">
        <is>
          <t>4.4.2</t>
        </is>
      </c>
      <c r="E27" s="5" t="n"/>
      <c r="F27" s="5" t="n"/>
      <c r="G27" s="5" t="n"/>
      <c r="H27" s="5" t="n"/>
      <c r="I27" s="5" t="n"/>
      <c r="J27" s="5" t="n"/>
      <c r="K27" s="5" t="n"/>
      <c r="L27" s="5" t="inlineStr">
        <is>
          <t>待测试</t>
        </is>
      </c>
      <c r="M27" s="5">
        <f>IF(L27&lt;&gt;"已完成","",IF(G27=1,2,IF(H27=1,1,0))+I27+J27*2-K27*2)</f>
        <v/>
      </c>
      <c r="N27" s="5" t="n"/>
      <c r="O27" s="5" t="n"/>
    </row>
    <row r="28" ht="58" customHeight="1">
      <c r="A28" s="5" t="inlineStr">
        <is>
          <t>H026</t>
        </is>
      </c>
      <c r="B28" s="5" t="inlineStr">
        <is>
          <t>设计和开发验证活动的详细原始数据资料应包括哪些内容？</t>
        </is>
      </c>
      <c r="C28" s="5" t="inlineStr">
        <is>
          <t>DOC005</t>
        </is>
      </c>
      <c r="D28" s="5" t="inlineStr">
        <is>
          <t>4.5.7</t>
        </is>
      </c>
      <c r="E28" s="5" t="n"/>
      <c r="F28" s="5" t="n"/>
      <c r="G28" s="5" t="n"/>
      <c r="H28" s="5" t="n"/>
      <c r="I28" s="5" t="n"/>
      <c r="J28" s="5" t="n"/>
      <c r="K28" s="5" t="n"/>
      <c r="L28" s="5" t="inlineStr">
        <is>
          <t>待测试</t>
        </is>
      </c>
      <c r="M28" s="5">
        <f>IF(L28&lt;&gt;"已完成","",IF(G28=1,2,IF(H28=1,1,0))+I28+J28*2-K28*2)</f>
        <v/>
      </c>
      <c r="N28" s="5" t="n"/>
      <c r="O28" s="5" t="n"/>
    </row>
    <row r="29" ht="58" customHeight="1">
      <c r="A29" s="5" t="inlineStr">
        <is>
          <t>H027</t>
        </is>
      </c>
      <c r="B29" s="5" t="inlineStr">
        <is>
          <t>主要原材料采购的时间、数量、合格证明和采购记录应满足哪些真实性与追溯要求？</t>
        </is>
      </c>
      <c r="C29" s="5" t="inlineStr">
        <is>
          <t>DOC005</t>
        </is>
      </c>
      <c r="D29" s="5" t="inlineStr">
        <is>
          <t>4.6.3—4.6.4</t>
        </is>
      </c>
      <c r="E29" s="5" t="n"/>
      <c r="F29" s="5" t="n"/>
      <c r="G29" s="5" t="n"/>
      <c r="H29" s="5" t="n"/>
      <c r="I29" s="5" t="n"/>
      <c r="J29" s="5" t="n"/>
      <c r="K29" s="5" t="n"/>
      <c r="L29" s="5" t="inlineStr">
        <is>
          <t>待测试</t>
        </is>
      </c>
      <c r="M29" s="5">
        <f>IF(L29&lt;&gt;"已完成","",IF(G29=1,2,IF(H29=1,1,0))+I29+J29*2-K29*2)</f>
        <v/>
      </c>
      <c r="N29" s="5" t="n"/>
      <c r="O29" s="5" t="n"/>
    </row>
    <row r="30" ht="58" customHeight="1">
      <c r="A30" s="5" t="inlineStr">
        <is>
          <t>H028</t>
        </is>
      </c>
      <c r="B30" s="5" t="inlineStr">
        <is>
          <t>注册检验和临床试验相关产品应保存哪些检验资料，部分项目委托检验时还需提供什么？</t>
        </is>
      </c>
      <c r="C30" s="5" t="inlineStr">
        <is>
          <t>DOC005</t>
        </is>
      </c>
      <c r="D30" s="5" t="inlineStr">
        <is>
          <t>4.8.5</t>
        </is>
      </c>
      <c r="E30" s="5" t="n"/>
      <c r="F30" s="5" t="n"/>
      <c r="G30" s="5" t="n"/>
      <c r="H30" s="5" t="n"/>
      <c r="I30" s="5" t="n"/>
      <c r="J30" s="5" t="n"/>
      <c r="K30" s="5" t="n"/>
      <c r="L30" s="5" t="inlineStr">
        <is>
          <t>待测试</t>
        </is>
      </c>
      <c r="M30" s="5">
        <f>IF(L30&lt;&gt;"已完成","",IF(G30=1,2,IF(H30=1,1,0))+I30+J30*2-K30*2)</f>
        <v/>
      </c>
      <c r="N30" s="5" t="n"/>
      <c r="O30" s="5" t="n"/>
    </row>
    <row r="31" ht="58" customHeight="1">
      <c r="A31" s="5" t="inlineStr">
        <is>
          <t>H029</t>
        </is>
      </c>
      <c r="B31" s="5" t="inlineStr">
        <is>
          <t>委托生产协议至少应覆盖哪些质量管理和过程控制事项？</t>
        </is>
      </c>
      <c r="C31" s="5" t="inlineStr">
        <is>
          <t>DOC005</t>
        </is>
      </c>
      <c r="D31" s="5" t="inlineStr">
        <is>
          <t>4.9.3</t>
        </is>
      </c>
      <c r="E31" s="5" t="n"/>
      <c r="F31" s="5" t="n"/>
      <c r="G31" s="5" t="n"/>
      <c r="H31" s="5" t="n"/>
      <c r="I31" s="5" t="n"/>
      <c r="J31" s="5" t="n"/>
      <c r="K31" s="5" t="n"/>
      <c r="L31" s="5" t="inlineStr">
        <is>
          <t>待测试</t>
        </is>
      </c>
      <c r="M31" s="5">
        <f>IF(L31&lt;&gt;"已完成","",IF(G31=1,2,IF(H31=1,1,0))+I31+J31*2-K31*2)</f>
        <v/>
      </c>
      <c r="N31" s="5" t="n"/>
      <c r="O31" s="5" t="n"/>
    </row>
    <row r="32" ht="58" customHeight="1">
      <c r="A32" s="5" t="inlineStr">
        <is>
          <t>H030</t>
        </is>
      </c>
      <c r="B32" s="5" t="inlineStr">
        <is>
          <t>委托生产过程中发生设计、采购或受托方质量体系变更时，双方应如何沟通和评估？</t>
        </is>
      </c>
      <c r="C32" s="5" t="inlineStr">
        <is>
          <t>DOC005</t>
        </is>
      </c>
      <c r="D32" s="5" t="inlineStr">
        <is>
          <t>4.9.14</t>
        </is>
      </c>
      <c r="E32" s="5" t="n"/>
      <c r="F32" s="5" t="n"/>
      <c r="G32" s="5" t="n"/>
      <c r="H32" s="5" t="n"/>
      <c r="I32" s="5" t="n"/>
      <c r="J32" s="5" t="n"/>
      <c r="K32" s="5" t="n"/>
      <c r="L32" s="5" t="inlineStr">
        <is>
          <t>待测试</t>
        </is>
      </c>
      <c r="M32" s="5">
        <f>IF(L32&lt;&gt;"已完成","",IF(G32=1,2,IF(H32=1,1,0))+I32+J32*2-K32*2)</f>
        <v/>
      </c>
      <c r="N32" s="5" t="n"/>
      <c r="O32" s="5" t="n"/>
    </row>
  </sheetData>
  <autoFilter ref="A2:O32"/>
  <mergeCells count="1">
    <mergeCell ref="A1:O1"/>
  </mergeCells>
  <conditionalFormatting sqref="L3:L32">
    <cfRule type="expression" priority="1" dxfId="0">
      <formula>$L3="已完成"</formula>
    </cfRule>
  </conditionalFormatting>
  <dataValidations count="3">
    <dataValidation sqref="G3:I32 K3:K32" showDropDown="0" showInputMessage="0" showErrorMessage="0" allowBlank="1" type="whole" operator="between">
      <formula1>0</formula1>
      <formula2>1</formula2>
    </dataValidation>
    <dataValidation sqref="J3:J32" showDropDown="0" showInputMessage="0" showErrorMessage="0" allowBlank="1" type="whole" operator="between">
      <formula1>0</formula1>
      <formula2>2</formula2>
    </dataValidation>
    <dataValidation sqref="L3:L32" showDropDown="0" showInputMessage="0" showErrorMessage="0" allowBlank="0" type="list">
      <formula1>"待测试,测试中,已完成,需复测"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独立留出测试集评测指标看板</t>
        </is>
      </c>
      <c r="B1" s="2" t="n"/>
      <c r="C1" s="2" t="n"/>
      <c r="D1" s="2" t="n"/>
      <c r="E1" s="2" t="n"/>
      <c r="F1" s="2" t="n"/>
      <c r="G1" s="2" t="n"/>
      <c r="H1" s="3" t="n"/>
    </row>
    <row r="2" ht="25" customHeight="1">
      <c r="A2" s="5" t="n"/>
      <c r="B2" s="5" t="n"/>
      <c r="C2" s="5" t="n"/>
      <c r="D2" s="5" t="n"/>
      <c r="E2" s="5" t="n"/>
      <c r="F2" s="5" t="n"/>
      <c r="G2" s="5" t="n"/>
      <c r="H2" s="5" t="n"/>
    </row>
    <row r="3" ht="34" customHeight="1">
      <c r="A3" s="11" t="inlineStr">
        <is>
          <t>使用流程：冻结当前配置后一次性运行H001-H030；在“评测记录”中填写结果，看板自动计算Top-1/Top-3、引用正确率、回答准确率、幻觉率和平均得分。</t>
        </is>
      </c>
      <c r="B3" s="12" t="n"/>
      <c r="C3" s="12" t="n"/>
      <c r="D3" s="12" t="n"/>
      <c r="E3" s="12" t="n"/>
      <c r="F3" s="12" t="n"/>
      <c r="G3" s="12" t="n"/>
      <c r="H3" s="13" t="n"/>
    </row>
    <row r="4" ht="25" customHeight="1">
      <c r="A4" s="14" t="n"/>
      <c r="B4" s="15" t="n"/>
      <c r="C4" s="15" t="n"/>
      <c r="D4" s="15" t="n"/>
      <c r="E4" s="15" t="n"/>
      <c r="F4" s="15" t="n"/>
      <c r="G4" s="15" t="n"/>
      <c r="H4" s="16" t="n"/>
    </row>
    <row r="5" ht="25" customHeight="1">
      <c r="A5" s="5" t="n"/>
      <c r="B5" s="5" t="n"/>
      <c r="C5" s="5" t="n"/>
      <c r="D5" s="5" t="n"/>
      <c r="E5" s="5" t="n"/>
      <c r="F5" s="5" t="n"/>
      <c r="G5" s="5" t="n"/>
      <c r="H5" s="5" t="n"/>
    </row>
    <row r="6" ht="25" customHeight="1">
      <c r="A6" s="17" t="inlineStr">
        <is>
          <t>题目总数</t>
        </is>
      </c>
      <c r="B6" s="17">
        <f>COUNTA(评测题集!A3:A32)</f>
        <v/>
      </c>
      <c r="C6" s="5" t="n"/>
      <c r="D6" s="17" t="inlineStr">
        <is>
          <t>已完成</t>
        </is>
      </c>
      <c r="E6" s="17">
        <f>COUNTIF(评测记录!L3:L32,"已完成")</f>
        <v/>
      </c>
      <c r="F6" s="5" t="n"/>
      <c r="G6" s="17" t="inlineStr">
        <is>
          <t>完成率</t>
        </is>
      </c>
      <c r="H6" s="17">
        <f>IFERROR(E6/B6,0)</f>
        <v/>
      </c>
    </row>
    <row r="7" ht="25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25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25" customHeight="1">
      <c r="A9" s="17" t="inlineStr">
        <is>
          <t>Top-1命中率</t>
        </is>
      </c>
      <c r="B9" s="17">
        <f>IFERROR(SUM(评测记录!G3:G32)/E6,0)</f>
        <v/>
      </c>
      <c r="C9" s="5" t="n"/>
      <c r="D9" s="17" t="inlineStr">
        <is>
          <t>Top-3命中率</t>
        </is>
      </c>
      <c r="E9" s="17">
        <f>IFERROR(SUM(评测记录!H3:H32)/E6,0)</f>
        <v/>
      </c>
      <c r="F9" s="5" t="n"/>
      <c r="G9" s="17" t="inlineStr">
        <is>
          <t>引用正确率</t>
        </is>
      </c>
      <c r="H9" s="17">
        <f>IFERROR(SUM(评测记录!I3:I32)/E6,0)</f>
        <v/>
      </c>
    </row>
    <row r="10" ht="25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25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5" customHeight="1">
      <c r="A12" s="17" t="inlineStr">
        <is>
          <t>回答准确率</t>
        </is>
      </c>
      <c r="B12" s="17">
        <f>IFERROR(SUM(评测记录!J3:J32)/(E6*2),0)</f>
        <v/>
      </c>
      <c r="C12" s="5" t="n"/>
      <c r="D12" s="17" t="inlineStr">
        <is>
          <t>幻觉率</t>
        </is>
      </c>
      <c r="E12" s="17">
        <f>IFERROR(SUM(评测记录!K3:K32)/E6,0)</f>
        <v/>
      </c>
      <c r="F12" s="5" t="n"/>
      <c r="G12" s="17" t="inlineStr">
        <is>
          <t>平均得分</t>
        </is>
      </c>
      <c r="H12" s="17">
        <f>IFERROR(AVERAGEIF(评测记录!L3:L32,"已完成",评测记录!M3:M32),0)</f>
        <v/>
      </c>
    </row>
    <row r="13" ht="25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25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25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25" customHeight="1">
      <c r="A16" s="5" t="inlineStr">
        <is>
          <t>文档ID</t>
        </is>
      </c>
      <c r="B16" s="5" t="inlineStr">
        <is>
          <t>题目数</t>
        </is>
      </c>
      <c r="C16" s="5" t="inlineStr">
        <is>
          <t>已完成</t>
        </is>
      </c>
      <c r="D16" s="5" t="inlineStr">
        <is>
          <t>Top1命中率</t>
        </is>
      </c>
      <c r="E16" s="5" t="inlineStr">
        <is>
          <t>Top3命中率</t>
        </is>
      </c>
      <c r="F16" s="5" t="inlineStr">
        <is>
          <t>平均得分</t>
        </is>
      </c>
      <c r="G16" s="5" t="n"/>
      <c r="H16" s="5" t="n"/>
    </row>
    <row r="17" ht="25" customHeight="1">
      <c r="A17" s="17" t="inlineStr">
        <is>
          <t>DOC001</t>
        </is>
      </c>
      <c r="B17" s="17">
        <f>COUNTIF(评测题集!B3:B32,A17)</f>
        <v/>
      </c>
      <c r="C17" s="17">
        <f>COUNTIFS(评测记录!C3:C32,A17,评测记录!L3:L32,"已完成")</f>
        <v/>
      </c>
      <c r="D17" s="17">
        <f>IFERROR(SUMIFS(评测记录!G3:G32,评测记录!C3:C32,A17,评测记录!L3:L32,"已完成")/C17,0)</f>
        <v/>
      </c>
      <c r="E17" s="17">
        <f>IFERROR(SUMIFS(评测记录!H3:H32,评测记录!C3:C32,A17,评测记录!L3:L32,"已完成")/C17,0)</f>
        <v/>
      </c>
      <c r="F17" s="17">
        <f>IFERROR(AVERAGEIFS(评测记录!M3:M32,评测记录!C3:C32,A17,评测记录!L3:L32,"已完成"),0)</f>
        <v/>
      </c>
      <c r="G17" s="5" t="n"/>
      <c r="H17" s="5" t="n"/>
    </row>
    <row r="18" ht="25" customHeight="1">
      <c r="A18" s="5" t="inlineStr">
        <is>
          <t>DOC002</t>
        </is>
      </c>
      <c r="B18" s="5">
        <f>COUNTIF(评测题集!B3:B32,A18)</f>
        <v/>
      </c>
      <c r="C18" s="5">
        <f>COUNTIFS(评测记录!C3:C32,A18,评测记录!L3:L32,"已完成")</f>
        <v/>
      </c>
      <c r="D18" s="5">
        <f>IFERROR(SUMIFS(评测记录!G3:G32,评测记录!C3:C32,A18,评测记录!L3:L32,"已完成")/C18,0)</f>
        <v/>
      </c>
      <c r="E18" s="5">
        <f>IFERROR(SUMIFS(评测记录!H3:H32,评测记录!C3:C32,A18,评测记录!L3:L32,"已完成")/C18,0)</f>
        <v/>
      </c>
      <c r="F18" s="5">
        <f>IFERROR(AVERAGEIFS(评测记录!M3:M32,评测记录!C3:C32,A18,评测记录!L3:L32,"已完成"),0)</f>
        <v/>
      </c>
      <c r="G18" s="5" t="n"/>
      <c r="H18" s="5" t="n"/>
    </row>
    <row r="19" ht="25" customHeight="1">
      <c r="A19" s="5" t="inlineStr">
        <is>
          <t>DOC003</t>
        </is>
      </c>
      <c r="B19" s="5">
        <f>COUNTIF(评测题集!B3:B32,A19)</f>
        <v/>
      </c>
      <c r="C19" s="5">
        <f>COUNTIFS(评测记录!C3:C32,A19,评测记录!L3:L32,"已完成")</f>
        <v/>
      </c>
      <c r="D19" s="5">
        <f>IFERROR(SUMIFS(评测记录!G3:G32,评测记录!C3:C32,A19,评测记录!L3:L32,"已完成")/C19,0)</f>
        <v/>
      </c>
      <c r="E19" s="5">
        <f>IFERROR(SUMIFS(评测记录!H3:H32,评测记录!C3:C32,A19,评测记录!L3:L32,"已完成")/C19,0)</f>
        <v/>
      </c>
      <c r="F19" s="5">
        <f>IFERROR(AVERAGEIFS(评测记录!M3:M32,评测记录!C3:C32,A19,评测记录!L3:L32,"已完成"),0)</f>
        <v/>
      </c>
      <c r="G19" s="5" t="n"/>
      <c r="H19" s="5" t="n"/>
    </row>
    <row r="20" ht="25" customHeight="1">
      <c r="A20" s="5" t="inlineStr">
        <is>
          <t>DOC004</t>
        </is>
      </c>
      <c r="B20" s="5">
        <f>COUNTIF(评测题集!B3:B32,A20)</f>
        <v/>
      </c>
      <c r="C20" s="5">
        <f>COUNTIFS(评测记录!C3:C32,A20,评测记录!L3:L32,"已完成")</f>
        <v/>
      </c>
      <c r="D20" s="5">
        <f>IFERROR(SUMIFS(评测记录!G3:G32,评测记录!C3:C32,A20,评测记录!L3:L32,"已完成")/C20,0)</f>
        <v/>
      </c>
      <c r="E20" s="5">
        <f>IFERROR(SUMIFS(评测记录!H3:H32,评测记录!C3:C32,A20,评测记录!L3:L32,"已完成")/C20,0)</f>
        <v/>
      </c>
      <c r="F20" s="5">
        <f>IFERROR(AVERAGEIFS(评测记录!M3:M32,评测记录!C3:C32,A20,评测记录!L3:L32,"已完成"),0)</f>
        <v/>
      </c>
      <c r="G20" s="5" t="n"/>
      <c r="H20" s="5" t="n"/>
    </row>
    <row r="21" ht="25" customHeight="1">
      <c r="A21" s="5" t="inlineStr">
        <is>
          <t>DOC005</t>
        </is>
      </c>
      <c r="B21" s="5">
        <f>COUNTIF(评测题集!B3:B32,A21)</f>
        <v/>
      </c>
      <c r="C21" s="5">
        <f>COUNTIFS(评测记录!C3:C32,A21,评测记录!L3:L32,"已完成")</f>
        <v/>
      </c>
      <c r="D21" s="5">
        <f>IFERROR(SUMIFS(评测记录!G3:G32,评测记录!C3:C32,A21,评测记录!L3:L32,"已完成")/C21,0)</f>
        <v/>
      </c>
      <c r="E21" s="5">
        <f>IFERROR(SUMIFS(评测记录!H3:H32,评测记录!C3:C32,A21,评测记录!L3:L32,"已完成")/C21,0)</f>
        <v/>
      </c>
      <c r="F21" s="5">
        <f>IFERROR(AVERAGEIFS(评测记录!M3:M32,评测记录!C3:C32,A21,评测记录!L3:L32,"已完成"),0)</f>
        <v/>
      </c>
      <c r="G21" s="5" t="n"/>
      <c r="H21" s="5" t="n"/>
    </row>
    <row r="22" ht="25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5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25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25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</sheetData>
  <mergeCells count="2">
    <mergeCell ref="A3:H4"/>
    <mergeCell ref="A1:H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42" customWidth="1" min="4" max="4"/>
  </cols>
  <sheetData>
    <row r="1" ht="32" customHeight="1">
      <c r="A1" s="1" t="inlineStr">
        <is>
          <t>独立留出测试使用的冻结RAGFlow配置</t>
        </is>
      </c>
      <c r="B1" s="2" t="n"/>
      <c r="C1" s="2" t="n"/>
      <c r="D1" s="3" t="n"/>
    </row>
    <row r="2" ht="28" customHeight="1">
      <c r="A2" s="4" t="inlineStr">
        <is>
          <t>参数类别</t>
        </is>
      </c>
      <c r="B2" s="4" t="inlineStr">
        <is>
          <t>参数名称</t>
        </is>
      </c>
      <c r="C2" s="4" t="inlineStr">
        <is>
          <t>当前值</t>
        </is>
      </c>
      <c r="D2" s="4" t="inlineStr">
        <is>
          <t>说明</t>
        </is>
      </c>
    </row>
    <row r="3" ht="28" customHeight="1">
      <c r="A3" s="5" t="inlineStr">
        <is>
          <t>知识库</t>
        </is>
      </c>
      <c r="B3" s="5" t="inlineStr">
        <is>
          <t>知识库名称</t>
        </is>
      </c>
      <c r="C3" s="5" t="inlineStr">
        <is>
          <t>医疗器械控制软件测试知识库</t>
        </is>
      </c>
      <c r="D3" s="5" t="inlineStr">
        <is>
          <t>第一批文档DOC001—DOC005已Validated</t>
        </is>
      </c>
    </row>
    <row r="4" ht="28" customHeight="1">
      <c r="A4" s="5" t="inlineStr">
        <is>
          <t>模型</t>
        </is>
      </c>
      <c r="B4" s="5" t="inlineStr">
        <is>
          <t>LLM</t>
        </is>
      </c>
      <c r="C4" s="5" t="inlineStr">
        <is>
          <t>deepseek-v4-flash（DeepSeek-Official）</t>
        </is>
      </c>
      <c r="D4" s="5" t="inlineStr">
        <is>
          <t>用于最终回答生成</t>
        </is>
      </c>
    </row>
    <row r="5" ht="28" customHeight="1">
      <c r="A5" s="5" t="inlineStr">
        <is>
          <t>模型</t>
        </is>
      </c>
      <c r="B5" s="5" t="inlineStr">
        <is>
          <t>Embedding</t>
        </is>
      </c>
      <c r="C5" s="5" t="inlineStr">
        <is>
          <t>text-embedding-v4（Tongyi-Official）</t>
        </is>
      </c>
      <c r="D5" s="5" t="inlineStr">
        <is>
          <t>用于向量化</t>
        </is>
      </c>
    </row>
    <row r="6" ht="28" customHeight="1">
      <c r="A6" s="5" t="inlineStr">
        <is>
          <t>模型</t>
        </is>
      </c>
      <c r="B6" s="5" t="inlineStr">
        <is>
          <t>Rerank</t>
        </is>
      </c>
      <c r="C6" s="5" t="inlineStr">
        <is>
          <t>qwen3-rerank（Tongyi-Official）</t>
        </is>
      </c>
      <c r="D6" s="5" t="inlineStr">
        <is>
          <t>用于召回结果重排序</t>
        </is>
      </c>
    </row>
    <row r="7" ht="28" customHeight="1">
      <c r="A7" s="5" t="inlineStr">
        <is>
          <t>检索</t>
        </is>
      </c>
      <c r="B7" s="5" t="inlineStr">
        <is>
          <t>相似度阈值</t>
        </is>
      </c>
      <c r="C7" s="5" t="inlineStr">
        <is>
          <t>0.20</t>
        </is>
      </c>
      <c r="D7" s="5" t="inlineStr">
        <is>
          <t>独立留出测试冻结值</t>
        </is>
      </c>
    </row>
    <row r="8" ht="28" customHeight="1">
      <c r="A8" s="5" t="inlineStr">
        <is>
          <t>检索</t>
        </is>
      </c>
      <c r="B8" s="5" t="inlineStr">
        <is>
          <t>向量权重</t>
        </is>
      </c>
      <c r="C8" s="5" t="inlineStr">
        <is>
          <t>0.50</t>
        </is>
      </c>
      <c r="D8" s="5" t="inlineStr">
        <is>
          <t>独立留出测试冻结值</t>
        </is>
      </c>
    </row>
    <row r="9" ht="28" customHeight="1">
      <c r="A9" s="5" t="inlineStr">
        <is>
          <t>检索</t>
        </is>
      </c>
      <c r="B9" s="5" t="inlineStr">
        <is>
          <t>全文权重</t>
        </is>
      </c>
      <c r="C9" s="5" t="inlineStr">
        <is>
          <t>0.50</t>
        </is>
      </c>
      <c r="D9" s="5" t="inlineStr">
        <is>
          <t>独立留出测试冻结值</t>
        </is>
      </c>
    </row>
    <row r="10" ht="28" customHeight="1">
      <c r="A10" s="5" t="inlineStr">
        <is>
          <t>检索</t>
        </is>
      </c>
      <c r="B10" s="5" t="inlineStr">
        <is>
          <t>Top-K</t>
        </is>
      </c>
      <c r="C10" s="5" t="inlineStr">
        <is>
          <t>1024</t>
        </is>
      </c>
      <c r="D10" s="5" t="inlineStr">
        <is>
          <t>送入Rerank的候选数量</t>
        </is>
      </c>
    </row>
    <row r="11" ht="28" customHeight="1">
      <c r="A11" s="5" t="inlineStr">
        <is>
          <t>检索</t>
        </is>
      </c>
      <c r="B11" s="5" t="inlineStr">
        <is>
          <t>Top N</t>
        </is>
      </c>
      <c r="C11" s="5" t="inlineStr">
        <is>
          <t>8</t>
        </is>
      </c>
      <c r="D11" s="5" t="inlineStr">
        <is>
          <t>送入回答模型的最终引用片段数</t>
        </is>
      </c>
    </row>
    <row r="12" ht="28" customHeight="1">
      <c r="A12" s="5" t="inlineStr">
        <is>
          <t>DOC004</t>
        </is>
      </c>
      <c r="B12" s="5" t="inlineStr">
        <is>
          <t>解析方法</t>
        </is>
      </c>
      <c r="C12" s="5" t="inlineStr">
        <is>
          <t>General / 512 / 分隔符 \n</t>
        </is>
      </c>
      <c r="D12" s="5" t="inlineStr">
        <is>
          <t>使用RAGFlow标题切片版Markdown</t>
        </is>
      </c>
    </row>
    <row r="13" ht="28" customHeight="1">
      <c r="A13" s="5" t="inlineStr">
        <is>
          <t>评测</t>
        </is>
      </c>
      <c r="B13" s="5" t="inlineStr">
        <is>
          <t>题目数量</t>
        </is>
      </c>
      <c r="C13" s="5" t="inlineStr">
        <is>
          <t>30</t>
        </is>
      </c>
      <c r="D13" s="5" t="inlineStr">
        <is>
          <t>每份文档6题；与原50题不重复</t>
        </is>
      </c>
    </row>
    <row r="14" ht="28" customHeight="1">
      <c r="A14" s="5" t="inlineStr">
        <is>
          <t>评分</t>
        </is>
      </c>
      <c r="B14" s="5" t="inlineStr">
        <is>
          <t>综合得分</t>
        </is>
      </c>
      <c r="C14" s="5" t="inlineStr">
        <is>
          <t>检索2 + 引用1 + 回答4 - 幻觉2</t>
        </is>
      </c>
      <c r="D14" s="5" t="inlineStr">
        <is>
          <t>满分7分，最低可为负分</t>
        </is>
      </c>
    </row>
  </sheetData>
  <autoFilter ref="A2:D14"/>
  <mergeCells count="1">
    <mergeCell ref="A1:D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Scarlet-S</dc:creator>
  <dc:title>医疗器械软件测试知识库独立留出测试工作簿</dc:title>
  <dc:subject>30道未参与优化的独立留出测试题</dc:subject>
  <dcterms:created xsi:type="dcterms:W3CDTF">2026-07-27T04:02:26Z</dcterms:created>
  <dcterms:modified xsi:type="dcterms:W3CDTF">2026-07-27T04:02:26Z</dcterms:modified>
</cp:coreProperties>
</file>