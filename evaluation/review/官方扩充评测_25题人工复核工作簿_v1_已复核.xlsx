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istrator\Documents\Codex\2026-07-24\new-chat-5\outputs\"/>
    </mc:Choice>
  </mc:AlternateContent>
  <xr:revisionPtr revIDLastSave="0" documentId="13_ncr:1_{CE30BCB8-6928-4D8F-AD44-D268F9F4D38E}" xr6:coauthVersionLast="47" xr6:coauthVersionMax="47" xr10:uidLastSave="{00000000-0000-0000-0000-000000000000}"/>
  <bookViews>
    <workbookView xWindow="2960" yWindow="2960" windowWidth="19200" windowHeight="11170" xr2:uid="{00000000-000D-0000-FFFF-FFFF00000000}"/>
  </bookViews>
  <sheets>
    <sheet name="指标汇总" sheetId="1" r:id="rId1"/>
    <sheet name="人工复核" sheetId="2" r:id="rId2"/>
    <sheet name="引用明细" sheetId="3" r:id="rId3"/>
  </sheets>
  <definedNames>
    <definedName name="_xlnm._FilterDatabase" localSheetId="1" hidden="1">人工复核!$A$3:$V$28</definedName>
    <definedName name="_xlnm._FilterDatabase" localSheetId="2" hidden="1">引用明细!$A$3:$H$203</definedName>
    <definedName name="_xlnm.Print_Area" localSheetId="1">人工复核!$N$1:$V$8</definedName>
    <definedName name="_xlnm.Print_Area" localSheetId="0">指标汇总!$A$1:$H$21</definedName>
  </definedNames>
  <calcPr calcId="191029" forceFullCalc="1"/>
</workbook>
</file>

<file path=xl/calcChain.xml><?xml version="1.0" encoding="utf-8"?>
<calcChain xmlns="http://schemas.openxmlformats.org/spreadsheetml/2006/main">
  <c r="V28" i="2" l="1"/>
  <c r="V27" i="2"/>
  <c r="V26" i="2"/>
  <c r="V25" i="2"/>
  <c r="V24" i="2"/>
  <c r="V23" i="2"/>
  <c r="V22" i="2"/>
  <c r="V21" i="2"/>
  <c r="V20" i="2"/>
  <c r="V19" i="2"/>
  <c r="V18" i="2"/>
  <c r="V17" i="2"/>
  <c r="V16" i="2"/>
  <c r="V15" i="2"/>
  <c r="V14" i="2"/>
  <c r="V13" i="2"/>
  <c r="V12" i="2"/>
  <c r="V11" i="2"/>
  <c r="V10" i="2"/>
  <c r="V9" i="2"/>
  <c r="V8" i="2"/>
  <c r="V7" i="2"/>
  <c r="V6" i="2"/>
  <c r="V5" i="2"/>
  <c r="V4" i="2"/>
  <c r="H8" i="1"/>
  <c r="F8" i="1"/>
  <c r="D8" i="1"/>
  <c r="B8" i="1"/>
  <c r="H6" i="1"/>
  <c r="H4" i="1"/>
</calcChain>
</file>

<file path=xl/sharedStrings.xml><?xml version="1.0" encoding="utf-8"?>
<sst xmlns="http://schemas.openxmlformats.org/spreadsheetml/2006/main" count="1585" uniqueCount="576">
  <si>
    <t>官方扩充评测｜25题人工复核工作簿</t>
  </si>
  <si>
    <t>用途：复核自动裁判标记的引用错误、准确度为0或存在幻觉的关键题。请勿覆盖自动结果，仅填写黄色输入区域。</t>
  </si>
  <si>
    <t>冻结评测总题数</t>
  </si>
  <si>
    <t>运行成功率</t>
  </si>
  <si>
    <t>关键复核题</t>
  </si>
  <si>
    <t>人工复核完成</t>
  </si>
  <si>
    <t>自动引用正确率</t>
  </si>
  <si>
    <t>自动回答准确度</t>
  </si>
  <si>
    <t>自动幻觉率</t>
  </si>
  <si>
    <t>三项一致率</t>
  </si>
  <si>
    <t>人工引用正确率</t>
  </si>
  <si>
    <t>人工回答准确度</t>
  </si>
  <si>
    <t>人工幻觉率</t>
  </si>
  <si>
    <t>已确认题数</t>
  </si>
  <si>
    <t>复核步骤</t>
  </si>
  <si>
    <t>1. 在“人工复核”中对照标准答案、实际回答和“引用明细”中的证据。</t>
  </si>
  <si>
    <t>2. 填写人工引用正确、人工回答准确度、人工幻觉三个黄色评分字段。</t>
  </si>
  <si>
    <t>3. 选择根因分类，填写处理建议与复核备注，并将状态改为“已确认”或“需讨论”。</t>
  </si>
  <si>
    <t>4. “一致性”由公式自动计算；先完成复核，再决定是否修改切片、提示词或标准答案。</t>
  </si>
  <si>
    <t>颜色说明</t>
  </si>
  <si>
    <t>黄色：人工输入</t>
  </si>
  <si>
    <t>红色：错误/幻觉</t>
  </si>
  <si>
    <t>橙色：部分正确</t>
  </si>
  <si>
    <t>绿色：正确/一致</t>
  </si>
  <si>
    <t>批量评测来源：D:\Tools\CodeTools\Projects\medical-device-test-rag\evaluation\results\batch_eval_100_official_expansion_v1_frozen_merged_20260729_133356.json</t>
  </si>
  <si>
    <t>自动裁判来源：D:\Tools\CodeTools\Projects\medical-device-test-rag\evaluation\results\judge_eval_100_20260729_151729.json</t>
  </si>
  <si>
    <t>关键问题人工复核记录（25题）</t>
  </si>
  <si>
    <t>黄色列由人工填写；自动评分与冻结回答保持只读。引用全文请按问题ID到“引用明细”查看。</t>
  </si>
  <si>
    <t>问题ID</t>
  </si>
  <si>
    <t>预期文档</t>
  </si>
  <si>
    <t>预期定位</t>
  </si>
  <si>
    <t>评测问题</t>
  </si>
  <si>
    <t>标准答案要点</t>
  </si>
  <si>
    <t>实际回答</t>
  </si>
  <si>
    <t>实际Top1文档</t>
  </si>
  <si>
    <t>严格Top1</t>
  </si>
  <si>
    <t>严格Top3</t>
  </si>
  <si>
    <t>引用概览</t>
  </si>
  <si>
    <t>自动引用正确</t>
  </si>
  <si>
    <t>自动幻觉</t>
  </si>
  <si>
    <t>自动评分理由</t>
  </si>
  <si>
    <t>人工引用正确</t>
  </si>
  <si>
    <t>人工幻觉</t>
  </si>
  <si>
    <t>根因分类</t>
  </si>
  <si>
    <t>处理建议</t>
  </si>
  <si>
    <t>复核备注</t>
  </si>
  <si>
    <t>复核状态</t>
  </si>
  <si>
    <t>三项一致性</t>
  </si>
  <si>
    <t>E001</t>
  </si>
  <si>
    <t>DOC006</t>
  </si>
  <si>
    <t>一、适用范围</t>
  </si>
  <si>
    <t>《医疗器械可用性工程注册审查指导原则》适用于哪些医疗器械，明确不适用于哪类产品？</t>
  </si>
  <si>
    <t>适用于第二类、第三类医疗器械可用性工程的注册申报，不适用于体外诊断试剂；注册申请人可参照其要求开展全部医疗器械的可用性工程工作。</t>
  </si>
  <si>
    <t>当前知识库中未检索到足够依据，无法给出确定结论。</t>
  </si>
  <si>
    <t>DOC010</t>
  </si>
  <si>
    <t>1. DOC010｜0.3828｜50 See FDA’s Guidance “Applying Human Factors and Usability Engineering to Medical Devices.”
2. DOC009｜0.3216｜.39 ContainsNonbindingRecommendations Content of Premarket Submissions for Device Software Functions Guidance for Industry and Food and Drug Administr…
3. DOC010｜0.2947｜26 See the Medical Device and Health IT Joint Security Plan version 2 (JSP2).
4. DOC011｜0.2867｜.18 Appendix B: Examples. ContainsNonbindingRecommendations Off-The-Shelf Software Use in MedicalDevices Guidance for Industry and Food and Drug Admin…
5. DOC010｜0.2865｜32 Details on the content for security risk management plans and reports beyond those specifically identified can be found in AAMI TIR57 Principles fo…
6. DOC009｜0.2805｜ContainsNonbindingRecommendations It is the sponsor's responsibility to proactively and comprehensively consider risks as part of the device's risk as…
7. DOC011｜0.2791｜ContainsNonbindingRecommendations Off-The-Shelf Software Use in Medical Devices Guidance for Industry and Food and Drug Administration Staff Document …
8. DOC013｜0.2784｜1. GB 9706.1 医用电气设备 第1部分：基本安全和基本性能的通用要求 2. GB/T 16886.1 医疗器械生物学评价 第1部分：风险管理过程中的评价与试验 3. GB/T 19000-2016 质量管理体系 基础和术语 4. GB/T 20002.4-2015 标准中特定内容的起草 第…</t>
  </si>
  <si>
    <t>待评测回答为拒绝回答，未引用任何证据，未提供任何有效信息，与人工标准答案明显矛盾。</t>
  </si>
  <si>
    <t>检索未命中</t>
  </si>
  <si>
    <t>为DOC006适用范围条款补充标题、关键词和同义问法，降低英文跨文档片段干扰。</t>
  </si>
  <si>
    <t>Top 8未出现DOC006；回答谨慎拒答，未增加具体无依据事实。</t>
  </si>
  <si>
    <t>已确认</t>
  </si>
  <si>
    <t>E003</t>
  </si>
  <si>
    <t>二、主要概念（三）医疗器械使用情况和用户操作情形</t>
  </si>
  <si>
    <t>正常使用、非正常使用、正确使用和错误使用之间是什么关系？</t>
  </si>
  <si>
    <t>使用情况分为正常使用和非正常使用；正常使用是按说明书及常识惯例操作，非正常使用则相反。正常使用按结果又分正确使用和错误使用；错误使用是用户行动或行动缺失导致器械响应异于预期，可能降低安全有效性并需要风险控制。</t>
  </si>
  <si>
    <t>【结论】
当前知识库中未检索到足够依据，无法给出确定结论。
【依据】
知识库中未出现“正常使用”“正确使用”“错误使用”的定义或其相互关系的描述。仅对“非正常使用”（reasonably foreseeable misuse）给出了定义：[ID:5] 中定义“Reasonably foreseeable misuse – use of a product or system in a way not intended by the manufacturer, but which can result from readily predictable human behavior.”（可合理预见的误用——以制造商未预期的方式使用产品或系统，但可由容易预测的人为行为导致）。
【适用说明】
省略。</t>
  </si>
  <si>
    <t>1. DOC010｜0.2918｜74 For more information about current review practices for 510(k) submission, see FDA’s guidance “The 510(k) Program: Evaluating Substantial Equivalen…
2. DOC009｜0.2766｜ContainsNonbindingRecommendations should provide a high-level diagram that communicates the overview and points to the other diagrams that provide add…
3. DOC009｜0.2672｜15. An implantable cardiac pacemaker used to treat bradycardia Description: The device is an implanted, programmable dual-chamber pulse generator inte…
4. DOC009｜0.2669｜20. An infusion pump intended for use in a health care facility to pump fluids and medications into a patient. Description: The device is intended for…
5. DOC010｜0.2667｜75 For the purposes of this control, “information” includes the software/firmware itself, as well as input and output data. ## Source page 43 When cho…
6. DOC010｜0.2639｜99 Definition is adapted from Medical Device and Health IT Joint Security Plan version 2 (JSP2). ## Source page 60 Denial of Service – prevention or i…
7. DOC009｜0.2562｜17. A multi-parameter patient monitor for use in a professional healthcare facility. Description: The device is a multi-parameter monitor intended for…
8. DOC009｜0.2536｜3. A non-invasive blood pressure monitor with inflatable cuff. Description: The device is intended to measure a person's systolic and diastolic blood …</t>
  </si>
  <si>
    <t>待评测回答的主要结论为'无法给出确定结论'，该结论基于引用的证据（仅包含非正常使用定义）得出，证据支持此结论，因此citation_correct=1。但回答未能覆盖人工标准答案要求的术语关系，核心结论（无法确定）与标准答案明确给出的关系相矛盾，且没有提供任何与问题直接相关的有效关系内容，因此answer_accuracy=0。回答未增加无依据的具体事实，hallucination=0。</t>
  </si>
  <si>
    <t>补充DOC006中正常使用、异常使用、正确使用与使用错误的结构化关系切片；提示词仅可表述“本轮未检索到”。</t>
  </si>
  <si>
    <t>未回答四类关系，且错误断言知识库未包含相关定义，属于对知识库范围的无依据判断。</t>
  </si>
  <si>
    <t>E004</t>
  </si>
  <si>
    <t>三、基本原则（二）使用风险导向</t>
  </si>
  <si>
    <t>医疗器械使用风险分为哪三级，分别如何判定？</t>
  </si>
  <si>
    <t>按伤害严重度分为高、中、低三级：错误使用可能导致严重伤害或死亡为高风险，可能导致轻微伤害为中风险，不可能导致伤害为低风险。高使用风险器械含关键任务，中、低使用风险器械不含关键任务，且应在采取风险控制措施前判定。</t>
  </si>
  <si>
    <t>【结论】
当前知识库中未检索到足够依据，无法给出确定结论。
【依据】
检索片段涉及FDA医疗器械软件上市前提交指南、网络安全和OTS软件相关文档，但均未提供“使用风险三级分类”及其判定方法的具体要求或定义。</t>
  </si>
  <si>
    <t>DOC009</t>
  </si>
  <si>
    <t>1. DOC009｜0.4512｜ContainsNonbindingRecommendations It is the sponsor's responsibility to proactively and comprehensively consider risks as part of the device's risk as…
2. DOC010｜0.3311｜2. Security Architecture Views In addition to the design and development requirements,46 Subclause 8.5 of ISO 13485 requires that manufacturers establ…
3. DOC010｜0.3298｜46 See Subclause 7.3 of ISO 13485. ## Source page 27 FDA recommends providing, at minimum, the following types of views in premarket submissions: · Gl…
4. DOC009｜0.3284｜(1) Risk Management Plan FDA recommends sponsors submit a risk management plan to support the effectiveness of the risk management activities and proc…
5. DOC011｜0.3260｜(2)Implementation The speed required by the medical device system dictates the hardware selection, the network interface cards and transmissions proto…
6. DOC010｜0.3229｜34 The MDIC/MITRE Playbook for Threat Modeling Medical Devices is an educational resource that discusses the threat modeling process, different threat…
7. DOC011｜0.3225｜6. How will you keep track of (controll4) the OTS Software? An appropriate plan should answer the following questions: · What measures have been desig…
8. DOC010｜0.3184｜42 NIST 800-160 vol. 1 rev. 1, Engineering Trustworthy Secure Systems states that security architecture definition process generates a set of represen…</t>
  </si>
  <si>
    <t>待评测回答声称未检索到足够依据，但实际引用证据为空，无法支持该结论；且回答明确拒绝回答，未提供任何有效信息，与人工标准答案明显矛盾。</t>
  </si>
  <si>
    <t>为DOC006三档使用风险分级建立独立完整切片并添加自然语言相关问题。</t>
  </si>
  <si>
    <t>Top 8未出现DOC006，回答拒答；未虚构具体分级。</t>
  </si>
  <si>
    <t>E007</t>
  </si>
  <si>
    <t>六、技术考量（一）临床试验</t>
  </si>
  <si>
    <t>临床试验能否替代用户界面确认测试，为什么？</t>
  </si>
  <si>
    <t>通常不能替代，只能作为支持和补充，因为某些关键任务测试可能危及受试者，且临床试验参与人数未必满足总结性可用性测试要求。仅在特殊情况下，临床试验满足总结性可用性测试要求时才可作为用户界面确认测试。</t>
  </si>
  <si>
    <t>【结论】
当前知识库中未检索到足够依据，无法给出确定结论。</t>
  </si>
  <si>
    <t>DOC011</t>
  </si>
  <si>
    <t>1. DOC011｜0.2872｜(6)Product Configuration The submission must identify the product to be considered. Therefore, the product configuration provided should specify: · Ha…
2. DOC011｜0.2793｜ContainsNonbindingRecommendations OTs Software labeling should indicate the minimum hardware platforms on which the software is validated to run (e.g.…
3. DOC009｜0.2776｜..24 ...25 H. Software Testing as part of Verification and Validation....
4. DOC009｜0.2695｜(2) Risk Assessment A risk assessment that includes a risk analysis, risk evaluation, risk control and a benefit-risk analysis (where applicable) shou…
5. DOC009｜0.2694｜(3)Risk Management Report A risk management report should be provided to: · Show how the risk management plan has been appropriately implemented. Demo…
6. DOC009｜0.2637｜9. An in vitro nucleic acid test for the qualitative detection of Human Papillomavirus (HPV) DNA in human cervical specimens. Description: The test is…
7. DOC009｜0.2522｜23. A continuous glucose monitoring system. Description: The device is intended to provide real time, continuous glucose monitoring for the management…
8. DOC009｜0.2466｜20. An infusion pump intended for use in a health care facility to pump fluids and medications into a patient. Description: The device is intended for…</t>
  </si>
  <si>
    <t>待评测回答未引用任何证据，直接拒绝回答，人工标准答案明确存在，因此主要结论无证据支持且准确度为0。</t>
  </si>
  <si>
    <t>强化DOC006关于临床试验不能常规替代用户界面确认的条款标题与相关问题。</t>
  </si>
  <si>
    <t>未召回目标条款，回答未提供有效结论。</t>
  </si>
  <si>
    <t>E008</t>
  </si>
  <si>
    <t>六、技术考量（二）进口医疗器械</t>
  </si>
  <si>
    <t>进口医疗器械为什么原则上需要在中国开展用户界面确认工作？</t>
  </si>
  <si>
    <t>因为中外用户、使用场景及可用性工程申报要求可能存在差异，原有用户界面设计未必能保证在中国安全有效使用。原则上应按使用风险级别在中国开展确认，除非有详实材料证明中外差异对确认无显著影响。</t>
  </si>
  <si>
    <t>【结论】
当前知识库中未检索到足够依据，无法给出确定结论。
【依据】
知识库中仅包含 FDA 和 OTS 医疗器械软件相关文档，未涉及进口医疗器械在中国开展用户界面确认工作的具体要求。</t>
  </si>
  <si>
    <t>1. DOC010｜0.3745｜21 For more information on reasonably foreseeable misuse, see the IMDRF final guidance “Principles and Practices for Medical Device Cybersecurity.” ##…
2. DOC010｜0.3605｜# DOC010 FDA Cybersecurity in Medical Devices (2026) - Part 7 &gt; Source pages 49-56 of the official PDF. Page-preserving RAGFlow ingestion part. ## Sou…
3. DOC011｜0.3233｜ContainsNonbindingRecommendations OTs Software labeling should indicate the minimum hardware platforms on which the software is validated to run (e.g.…
4. DOC011｜0.3228｜(6)Product Configuration The submission must identify the product to be considered. Therefore, the product configuration provided should specify: · Ha…
5. DOC010｜0.3111｜74 For more information about current review practices for 510(k) submission, see FDA’s guidance “The 510(k) Program: Evaluating Substantial Equivalen…
6. DOC010｜0.3021｜49 Users often manage security risks in medical device systems by an end user or within a larger risk management framework like the NIST CSF. ## Sourc…
7. DOC010｜0.2952｜46 See Subclause 7.3 of ISO 13485. ## Source page 27 FDA recommends providing, at minimum, the following types of views in premarket submissions: · Gl…
8. DOC010｜0.2848｜3. Interoperability Considerations Interoperability is an important consideration when assessing the cybersecurity of the end-to-end medical device sy…</t>
  </si>
  <si>
    <t>待评测回答的主要结论（无法给出确定结论）没有实际引用证据支持，实际引用证据缺失；回答完全回避问题，未提供任何正确有效信息，与人工标准答案核心要点矛盾；回答断言知识库内容的具体事实缺乏证据支持，构成幻觉。</t>
  </si>
  <si>
    <t>为进口器械中国用户界面确认要求增加结构化切片；约束模型不得把本轮检索结果等同于知识库全部内容。</t>
  </si>
  <si>
    <t>未命中DOC006，并错误声称知识库只有FDA/OTS资料。</t>
  </si>
  <si>
    <t>E015</t>
  </si>
  <si>
    <t>DOC007</t>
  </si>
  <si>
    <t>五、技术考量（二）电池</t>
  </si>
  <si>
    <t>移动医疗器械的电池管理应考虑哪些安全有效性问题？</t>
  </si>
  <si>
    <t>应考虑电池容量、续航时间、充放电、剩余电量和低电量提示、电池故障或断电处理等要求，并结合核心功能和使用场景控制电量不足或异常供电导致的风险。</t>
  </si>
  <si>
    <t>【结论】
当前知识库中未检索到足够依据，无法给出确定结论。
【依据】
无。知识库中的文档（如FDA网络安全指南、OTS软件指南等）均未涉及移动医疗器械的电池管理相关内容。</t>
  </si>
  <si>
    <t>1. DOC010｜0.4237｜42 NIST 800-160 vol. 1 rev. 1, Engineering Trustworthy Secure Systems states that security architecture definition process generates a set of represen…
2. DOC010｜0.4229｜49 Users often manage security risks in medical device systems by an end user or within a larger risk management framework like the NIST CSF. ## Sourc…
3. DOC011｜0.4229｜ContainsNonbindingRecommendations OTs Software labeling should indicate the minimum hardware platforms on which the software is validated to run (e.g.…
4. DOC010｜0.4218｜21 For more information on reasonably foreseeable misuse, see the IMDRF final guidance “Principles and Practices for Medical Device Cybersecurity.” ##…
5. DOC010｜0.4050｜16 In the postmarket context, design and development may also be important to ensure medical device cybersecurity and maintain medical device safety a…
6. DOC011｜0.3955｜.18 Appendix B: Examples. ContainsNonbindingRecommendations Off-The-Shelf Software Use in MedicalDevices Guidance for Industry and Food and Drug Admin…
7. DOC011｜0.3949｜(1) Requirements Analysis B. Speed - The response time required for safe and effective operation determines the LAN data rate (bandwidth) for the medi…
8. DOC010｜0.3928｜23 For more information regarding the substantial equivalence review standard, please refer to FDA’s guidance, “The 510(k) Program: Evaluating Substan…</t>
  </si>
  <si>
    <t>待评测回答声称未检索到足够依据、无法给出结论，但人工标准答案明确列出了应考虑的要点，回答实际未引用任何有效证据支持其结论，且未提供任何与问题相关的正确有效信息，因此准确性为0。</t>
  </si>
  <si>
    <t>为DOC007电池管理要求增加完整切片、关键词和常见问法；统一安全拒答措辞。</t>
  </si>
  <si>
    <t>未命中DOC007，并错误断言知识库文档不覆盖电池管理。</t>
  </si>
  <si>
    <t>E029</t>
  </si>
  <si>
    <t>VI.B Software Description</t>
  </si>
  <si>
    <t>FDA上市前申报中的软件描述应至少说明哪些内容？</t>
  </si>
  <si>
    <t>应概述重要软件特征和功能，必要时用图像、流程图和状态图说明；还应说明软件在器械预期用途中的作用、预期用户和患者、主要输入输出、分析方式及硬件平台。修改器械应标明既往申报并突出影响安全有效性的变化。</t>
  </si>
  <si>
    <t>【结论】
FDA上市前申报中的软件描述应至少包含软件需求规格说明（SRS）和系统与软件架构图。
【依据】
根据《Content of Premarket Submissions for Device Software Functions》第VI节的建议：
- 软件需求规格说明（SRS）应记录软件的需求，通常规定输入和输出、软件将执行的功能、硬件、性能、接口、用户交互、错误定义和处理、预期操作环境、源自风险评估的安全相关要求以及软件将接受的所有范围、限制、默认值和特定值 [ID:4]。
- 系统与软件架构图的目的是呈现设备设计的路线图，以清晰展示构成系统和软件的模块和层次、模块和层次之间的关系、数据输入/输出及数据流，以及用户或外部产品如何与系统和软件交互 [ID:4]。
此外，若设备使用OTS软件，根据《Off-The-Shelf Software Use in Medical Devices》第III.A节的建议：
- 对于基本和增强文档级别，应提供OTS软件功能和特性的概述和描述 [ID:1]。
【适用说明】
本回答基于FDA的上市前申报建议。针对使用OTS软件的设备，需额外提供OTS软件的描述，但不同文档级别下的详细程度可能不同。</t>
  </si>
  <si>
    <t>1. DOC009｜0.5843｜.39 ContainsNonbindingRecommendations Content of Premarket Submissions for Device Software Functions Guidance for Industry and Food and Drug Administr…
2. DOC011｜0.5814｜.18 Appendix B: Examples. ContainsNonbindingRecommendations Off-The-Shelf Software Use in MedicalDevices Guidance for Industry and Food and Drug Admin…
3. DOC011｜0.5244｜5. How do you know it works? · Based on documentation Level (i.e., Basic or Enhanced) determined for the device software as discussed in the guidance …
4. DOC011｜0.5219｜6. How will you keep track of (controll4) the OTS Software? An appropriate plan should answer the following questions: · What measures have been desig…
5. DOC009｜0.5134｜(3)Risk Management Report A risk management report should be provided to: · Show how the risk management plan has been appropriately implemented. Demo…
6. DOC011｜0.4968｜(3) Software Testing as Part of Verification and Validation As in the establishment of a product baseline, verification and validation (V&amp;V) activitie…
7. DOC010｜0.4949｜7.3.7). Design and development validation includes validation of device software. In addition, Subclause 7.1 of ISO 13485 specifies that the “organiza…
8. DOC011｜0.4888｜(1)Safety Introduction of new or modified OTS software component(s) to a product baseline may impact the safety of the product. Therefore, a safety im…</t>
  </si>
  <si>
    <t>主要结论要求包含系统与软件架构图，但实际引用证据中未出现相关内容，因此主要结论未得到完全支持（citation_correct=0）。回答在依据中提到了SRS应包含输入输出、硬件等正确内容，部分覆盖标准答案要点，但遗漏了软件作用、预期用户、分析方式等核心要求，故准确度为1。回答增加了无依据的系统与软件架构图要求，构成幻觉。</t>
  </si>
  <si>
    <t>将DOC009 VI.B Software Description与SRS、架构图相邻章节拆分并加清晰标题，优先召回精确章节。</t>
  </si>
  <si>
    <t>把SRS和架构图误当成Software Description的内容，核心结论答非所问且概念混合。</t>
  </si>
  <si>
    <t>E033</t>
  </si>
  <si>
    <t>VI.D Software Requirements Specification</t>
  </si>
  <si>
    <t>FDA建议软件需求规范（SRS）覆盖哪些需求，并具备哪些质量特性？</t>
  </si>
  <si>
    <t>SRS通常覆盖输入输出、功能、硬件、性能、接口、用户交互、错误定义与处理、运行环境、安全相关要求，以及允许的范围、限值、默认值和具体值。每项需求应可追溯，并评价准确性、完整性、一致性、可测试性、正确性和清晰性。</t>
  </si>
  <si>
    <t>【结论】
FDA建议软件需求规格（SRS）应覆盖输入/输出、功能、硬件、性能、接口、用户交互、错误定义与处理、预期操作环境、从风险评估推导的安全相关需求，以及软件接受的所有范围、极限、默认值和具体值。SRS的每个需求应可追溯，并应对其准确性、完整性、一致性、可测试性、正确性和清晰度进行评估。
【依据】
依据《DOC009_FDA_premarket_device_software_functions_2023.pdf》中关于“Software Requirements Specification (SRS)”的描述：
- SRS通常应指定“inputs and outputs, functions that the software will perform, hardware, performance, interfaces, user interaction, error definition and handling, intended operating environment, safety related requirements derived from a risk assessment (Refer to Section VI.C Risk Management File) and all ranges, limits, defaults, and specific values that the software will accept”。[ID:0]
- SRS中的每个需求应可追溯，且FDA建议SRS应被评估其“accuracy, completeness, consistency, testability, correctness, and clarity”。[ID:0]
【适用说明】
该建议适用于向FDA提交的医疗器械软件上市前申请，包括510(k)、De Novo、PMA等类型，且适用于所有文档级别（Basic或Enhanced）。[ID:1]</t>
  </si>
  <si>
    <t>1. DOC009｜0.5016｜(3)Risk Management Report A risk management report should be provided to: · Show how the risk management plan has been appropriately implemented. Demo…
2. DOC009｜0.4127｜.39 ContainsNonbindingRecommendations Content of Premarket Submissions for Device Software Functions Guidance for Industry and Food and Drug Administr…
3. DOC010｜0.3820｜# DOC010 FDA Cybersecurity in Medical Devices (2026) - Part 2 &gt; Source pages 9-16 of the official PDF. Page-preserving RAGFlow ingestion part. ## Sour…
4. DOC010｜0.3777｜46 See Subclause 7.3 of ISO 13485. ## Source page 27 FDA recommends providing, at minimum, the following types of views in premarket submissions: · Gl…
5. DOC009｜0.3667｜..15 Software Requirements Specification (SRS)
6. DOC011｜0.3274｜ContainsNonbindingRecommendations OTs Software labeling should indicate the minimum hardware platforms on which the software is validated to run (e.g.…
7. DOC011｜0.3224｜.18 Appendix B: Examples. ContainsNonbindingRecommendations Off-The-Shelf Software Use in MedicalDevices Guidance for Industry and Food and Drug Admin…
8. DOC011｜0.3192｜2. What are the Computer System Specifications for the OTS Software? For what configuration will the OTS software be validated? The following should b…</t>
  </si>
  <si>
    <t>主要结论（SRS覆盖的需求和质量特性）有引用证据直接支持；回答完整覆盖了人工标准答案的所有核心要点，故准确度为2；但适用说明部分增加了引用证据中未出现的具体申请类型和文档级别，构成幻觉。</t>
  </si>
  <si>
    <t>自动裁判误判</t>
  </si>
  <si>
    <t>无需修改知识库；校准裁判，使其综合检查全部引用片段及适用范围证据。</t>
  </si>
  <si>
    <t>SRS内容、质量属性和适用范围均有DOC009引用支持，回答完整。</t>
  </si>
  <si>
    <t>E034</t>
  </si>
  <si>
    <t>VI.E System and Software Architecture Diagram</t>
  </si>
  <si>
    <t>系统与软件架构图应帮助FDA理解哪些关系？</t>
  </si>
  <si>
    <t>应展示构成系统和软件的模块与层次、模块和层次间关系、数据输入输出及流向，以及用户和外部产品（含IT基础设施及外设）如何与系统和软件交互。</t>
  </si>
  <si>
    <t>【结论】
系统与软件架构图应帮助FDA理解以下四类关系：
1. 构成系统与软件的模块及层次；
2. 模块及层次之间的相互关系；
3. 数据输入/输出及模块与层次间的数据流；
4. 用户或外部产品（包括IT基础设施和外围设备，如无线连接的医疗器械）与系统及软件的交互方式。
【依据】
依据DOC009_FDA_premarket_device_software_functions_2023.pdf中第VI.E节“系统与软件架构图”（System and Software Architecture Diagram）的原文说明，该图的目的是展示设备设计的路线图，以帮助清晰理解上述四方面内容[ID:2]。</t>
  </si>
  <si>
    <t>1. DOC009｜0.5511｜ContainsNonbindingRecommendations should provide a high-level diagram that communicates the overview and points to the other diagrams that provide add…
2. DOC009｜0.5100｜27. A drug-device combination, with the device constituent part detecting ingestion of the drug component to prevent treatment failure. Description: T…
3. DOC009｜0.4860｜(3)Risk Management Report A risk management report should be provided to: · Show how the risk management plan has been appropriately implemented. Demo…
4. DOC010｜0.4637｜# DOC010 FDA Cybersecurity in Medical Devices (2026) - Part 7 &gt; Source pages 49-56 of the official PDF. Page-preserving RAGFlow ingestion part. ## Sou…
5. DOC009｜0.4478｜..20 System and Software Architecture Diagram... Software Design Specification (SDS). F. Basic Documentation Level....
6. DOC009｜0.4472｜..28 Appendix B: System and Software Architecture Diagram Examples
7. DOC010｜0.4061｜46 See Subclause 7.3 of ISO 13485. ## Source page 27 FDA recommends providing, at minimum, the following types of views in premarket submissions: · Gl…
8. DOC011｜0.4030｜(2)Implementation The speed required by the medical device system dictates the hardware selection, the network interface cards and transmissions proto…</t>
  </si>
  <si>
    <t>待评测回答的结论正确且完整覆盖人工标准答案要点，但实际引用的证据内容与架构图无关，无法支持主要结论，故citation_correct为0。回答未增加无依据事实，hallucination为0。</t>
  </si>
  <si>
    <t>无需修改知识库；裁判应识别引用编号对应的完整DOC009片段，而非只看片段开头。</t>
  </si>
  <si>
    <t>四类架构关系与DOC009 VI.E原文一致，引用充分。</t>
  </si>
  <si>
    <t>E035</t>
  </si>
  <si>
    <t>VI.F Software Design Specification</t>
  </si>
  <si>
    <t>Basic和Enhanced文档等级对软件设计规范（SDS）的提交要求有何不同？</t>
  </si>
  <si>
    <t>Basic等级通常不要求在上市前申报中提交SDS，但应在器械设计历史文件中内部保存，FDA必要时可要求补充；Enhanced等级应提交一个或一组SDS，说明软件如何实现SRS、模块和接口的详细设计以及对SRS的可追溯性。</t>
  </si>
  <si>
    <t>【结论】
Basic Documentation Level下，FDA不推荐在注册申报资料中提交SDS，企业应将设计信息记录在DHF中，FDA可能在审查中要求补充；Enhanced Documentation Level下，企业需要提交一份或多份SDS文档，详细说明技术设计、如何完整正确实现SRS要求以及与SRS的追溯性。
【依据】
- DOC009_FDA_premarket_device_software_functions_2023.pdf（Table 1和Section VI.F）指出：
  - Basic Documentation Level：“FDA is not recommending the SDS as part of the premarket submission. Sponsor should document this information on the design via the DHF for the device. During premarket review, FDA may request additional information, if needed, to evaluate the safety and effectiveness of the device.”
  - Enhanced Documentation Level：“SDS documentation, including sufficient information that would allow FDA to understand the technical design details of how the software functions, how the software design completely and correctly implements all the requirements of the SRS, and how the software design traces to the SRS in terms of intended use, functionality, safety, and effectiveness.” [ID:1]（Table 1部分）
- 同一文档Section VI.F进一步说明Enhanced Level下的SDS要求：“A singular SDS document or set of SDS documents that provide the technical design details of how the software functions, how the software design completely and correctly implements all the requirements of the SRS and how the software design traces to the SRS in terms of intended use, functionality, safety, and effectiveness.” [ID:4]
【适用说明】
以上要求适用于器械软件功能的注册申报（Premarket Submission）场景，需根据器械的文档等级（Basic或Enhanced）区别对待。</t>
  </si>
  <si>
    <t>1. DOC011｜0.4362｜6. How will you keep track of (controll4) the OTS Software? An appropriate plan should answer the following questions: · What measures have been desig…
2. DOC009｜0.4147｜ContainsNonbindingRecommendations It is the sponsor's responsibility to proactively and comprehensively consider risks as part of the device's risk as…
3. DOC011｜0.3766｜5. How do you know it works? · Based on documentation Level (i.e., Basic or Enhanced) determined for the device software as discussed in the guidance …
4. DOC009｜0.3669｜..20 System and Software Architecture Diagram... Software Design Specification (SDS). F. Basic Documentation Level....
5. DOC009｜0.3540｜ContainsNonbindingRecommendations should provide a high-level diagram that communicates the overview and points to the other diagrams that provide add…
6. DOC011｜0.3482｜(1) A traumatic brain injury (TBl) eye movement assessment aid Description: The device is a prescription device that is intended to track a patient's …
7. DOC009｜0.3469｜14. An electric breast pump. Description: The device is intended to be used by lactating women to express and collect milk from their breasts. The dev…
8. DOC009｜0.3355｜.39 ContainsNonbindingRecommendations Content of Premarket Submissions for Device Software Functions Guidance for Industry and Food and Drug Administr…</t>
  </si>
  <si>
    <t>主要结论在内容上正确且完整覆盖标准答案要点，但实际引用的证据片段（[ID:1]和[ID:4]）并未直接包含待评测回答所引用的具体文字，无法支持其主要结论，因此citation_correct为0。回答本身没有增加无依据的具体事实，hallucination为0。</t>
  </si>
  <si>
    <t>为DOC009 VI.F Basic/Enhanced SDS要求建立自包含切片并添加级别对比问法。</t>
  </si>
  <si>
    <t>回答与标准答案一致，但返回证据未直接包含Basic与Enhanced的完整判定要求。</t>
  </si>
  <si>
    <t>E037</t>
  </si>
  <si>
    <t>VI.I Software Version History</t>
  </si>
  <si>
    <t>FDA建议软件版本历史以什么方式记录，最终条目还需说明什么？</t>
  </si>
  <si>
    <t>应从受设计控制的版本开始，以逐项表格记录测试日期、版本号及相对前一测试版本的变更。最后一项应为拟发布版本，并说明测试版本与发布版本的差异及其对安全有效性的潜在影响。</t>
  </si>
  <si>
    <t>1. DOC011｜0.3663｜1. What is it? For each component of OTS software used, the following should be specified: Title and Manufacturer of the OTS software. Version Level, …
2. DOC009｜0.3662｜...26 Software Version History.... I.
3. DOC011｜0.3614｜6. How will you keep track of (controll4) the OTS Software? An appropriate plan should answer the following questions: · What measures have been desig…
4. DOC010｜0.3557｜# DOC010 FDA Cybersecurity in Medical Devices (2026) - Part 7 &gt; Source pages 49-56 of the official PDF. Page-preserving RAGFlow ingestion part. ## Sou…
5. DOC010｜0.3481｜2. Changes Unlikely to Impact Cybersecurity In general, changes unlikely to impact cybersecurity could include changes in materials, sterilization met…
6. DOC010｜0.3480｜46 See Subclause 7.3 of ISO 13485. ## Source page 27 FDA recommends providing, at minimum, the following types of views in premarket submissions: · Gl…
7. DOC010｜0.3403｜7.3.10 (Design and Development Files) and Subclause 4.2.3 (Medical Device File) of ISO 13485. To assist FDA’s assessment of the device risks and assoc…
8. DOC009｜0.3354｜(3)Risk Management Report A risk management report should be provided to: · Show how the risk management plan has been appropriately implemented. Demo…</t>
  </si>
  <si>
    <t>回答未引用任何证据，主要结论“无法给出确定结论”没有证据支持，且与标准答案要求的具体记录方式相矛盾，未提供任何有效信息。</t>
  </si>
  <si>
    <t>将DOC009 VI.I版本历史要求整理为独立完整切片并补充相关问题。</t>
  </si>
  <si>
    <t>仅召回目录或相邻章节，回答拒答。</t>
  </si>
  <si>
    <t>E043</t>
  </si>
  <si>
    <t>V.A.2 Cybersecurity Risk Assessment</t>
  </si>
  <si>
    <t>网络安全风险评估为何不能只按历史概率量化，FDA建议重点评估什么？</t>
  </si>
  <si>
    <t>网络攻击可能有意或无意发生，威胁会变化，难以用历史数据可靠预测事件概率。评估应重点分析漏洞的可利用性及其在器械和所在系统中的风险，可采用最坏情况假设或对合理可利用性评估给出论证。</t>
  </si>
  <si>
    <t>【结论】
网络安全风险评估不能仅按历史概率量化，因为安全风险管理的根本方法并非概率性方法，而是重点评估漏洞的可利用性（exploitability）。FDA建议制造商根据设备和运行系统所构成的风险水平来评估已识别的风险。
【依据】
根据《FDA Cybersecurity in Medical Devices (2026) - Part 3》（Source page 18）的说明：安全风险管理所采用的非概率性方法并非ISO 14971下安全风险管理的基本方法 [ID:7]；安全风险评估过程重点关注可利用性，即利用设备和/或系统中存在的漏洞的能力。FDA建议制造商根据设备和运行系统所构成的风险水平来评估已识别的风险。
【适用说明】
该建议适用于医疗器械上市前网络安全风险管理活动。</t>
  </si>
  <si>
    <t>1. DOC010｜0.4884｜34 The MDIC/MITRE Playbook for Threat Modeling Medical Devices is an educational resource that discusses the threat modeling process, different threat…
2. DOC010｜0.3981｜27 ANSI/ISA-62443-4-1 Security for industrial automation and control systems Part 4-1: Product security development life-cycle requirements outlines a…
3. DOC010｜0.3969｜46 See Subclause 7.3 of ISO 13485. ## Source page 27 FDA recommends providing, at minimum, the following types of views in premarket submissions: · Gl…
4. DOC010｜0.3797｜30 See 21 CFR Part 820. ## Source page 16 risk assessment and be assessed for additional control measures or risk transfer31 to the user/operator, or,…
5. DOC009｜0.3743｜(1) Risk Management Plan FDA recommends sponsors submit a risk management plan to support the effectiveness of the risk management activities and proc…
6. DOC010｜0.3730｜47 For any testing tools or software used, the details provided may include, but may not be limited to, the name of the tool, version information as a…
7. DOC010｜0.3721｜2. Cybersecurity Risk Assessment As a part of security risk management, security risks and controls should be assessed for residual risks as part of a…
8. DOC010｜0.3706｜# DOC010 FDA Cybersecurity in Medical Devices (2026) - Part 3 &gt; Source pages 17-24 of the official PDF. Page-preserving RAGFlow ingestion part. ## Sou…</t>
  </si>
  <si>
    <t>待评测回答的主要结论（不能仅按历史概率量化，重点评估可利用性）在实际引用的证据中未得到直接支持；回答包含部分正确内容（重点评估可利用性），但遗漏了标准答案中关于攻击有意无意、威胁变化及最坏情况假设等核心要点，且增加了引用证据中不存在的具体事实（非概率性方法表述）。</t>
  </si>
  <si>
    <t>回答遗漏</t>
  </si>
  <si>
    <t>在回答提示词中为网络安全风险评估加入“难以预测、可利用性、最坏情形/合理说明”核对清单。</t>
  </si>
  <si>
    <t>引用直接支持可利用性评估；回答遗漏故障可有意/无意发生及最坏情形或合理说明。</t>
  </si>
  <si>
    <t>E046</t>
  </si>
  <si>
    <t>V.A.5 Security Assessment of Unresolved Anomalies</t>
  </si>
  <si>
    <t>为什么普通软件风险可接受的未解决异常仍需进行网络安全影响评估？</t>
  </si>
  <si>
    <t>因为异常可能具有安全含义并构成漏洞。正常使用下偶发且可接受的异常可能被攻击者持续触发或利用，显著改变安全有效性影响，因此应评估潜在安全影响并考虑CWE类别。</t>
  </si>
  <si>
    <t>【结论】
是的。因为从软件风险角度评估可接受的异常，在网络安全视角下可能被攻击者利用，持续产生负面影响，从而显著改变风险的可接受性。因此，即使软件风险可接受，仍需进行网络安全影响评估。
【依据】
依据 FDA《Cybersecurity in Medical Devices》(2026) Part 3 第5节“Security Assessment of Unresolved Anomalies”：指出异常在软件风险评估中可能被认为是偶尔发生、可接受的 [ID:2]；但攻击者可能主动寻找并利用这些异常，使其影响持续发生，与未考虑安全影响的评估相比，这会显著影响风险的可接受性。因此，为确保完整的安全风险评估，即使软件风险可接受，也需要考虑异常的潜在安全影响。
【适用说明】
本要求适用于医疗器械上市前提交中，对开发或测试期间发现的、可能具有安全影响的未解决异常进行评估。</t>
  </si>
  <si>
    <t>1. DOC010｜0.5106｜5. Security Assessment of Unresolved Anomalies FDA’s Premarket Software Guidance recommends that device manufacturers provide a list of software anoma…
2. DOC010｜0.4236｜30 See 21 CFR Part 820. ## Source page 16 risk assessment and be assessed for additional control measures or risk transfer31 to the user/operator, or,…
3. DOC010｜0.4058｜# DOC010 FDA Cybersecurity in Medical Devices (2026) - Part 7 &gt; Source pages 49-56 of the official PDF. Page-preserving RAGFlow ingestion part. ## Sou…
4. DOC009｜0.3981｜(2) Risk Assessment A risk assessment that includes a risk analysis, risk evaluation, risk control and a benefit-risk analysis (where applicable) shou…
5. DOC010｜0.3898｜82 For the purposes of this guidance, loss of confidential health information is generally not considered to be a direct impact on safety and effectiv…
6. DOC010｜0.3685｜47 For any testing tools or software used, the details provided may include, but may not be limited to, the name of the tool, version information as a…
7. DOC010｜0.3621｜5. Security Assessment of Unresolved Anomalies ........................................................... 18
8. DOC010｜0.3581｜66 For example, a manufacturer may make updates outside of the planned reasonably justified regular cycle to remediate an uncontrolled risk. ## Source…</t>
  </si>
  <si>
    <t>回答内容正确且完整覆盖人工标准答案核心要点，但实际引用证据（递交文件表格）与回答中声称的FDA第3节第5节内容无关，主要结论缺乏直接证据支持，因此citation_correct为0；回答内容本身正确完整，answer_accuracy为2；回答编造了依据细节（Part 3第5节及具体说明），无证据支持，hallucination为1。</t>
  </si>
  <si>
    <t>增加未解决异常回答核对项：安全影响、持续利用、CWE类别、处置准则与理由。</t>
  </si>
  <si>
    <t>引用为精确目标条款；回答核心正确，但遗漏CWE类别等要求。</t>
  </si>
  <si>
    <t>E047</t>
  </si>
  <si>
    <t>V.A.6 TPLC Security Risk Management</t>
  </si>
  <si>
    <t>器械发布后，安全风险管理文档应如何持续维护？</t>
  </si>
  <si>
    <t>制造商应在支持期内持续识别、评估和缓解漏洞；发现新威胁、漏洞、资产或不利影响时更新威胁模型和风险评估。还应针对现场不同软件版本和配置分别评估影响，以支持及时纠正和预防措施。</t>
  </si>
  <si>
    <t>【结论】
器械发布后，制造商应持续更新安全风险管理文档，以反映新信息（如新威胁、漏洞、资产或不良影响），并在设备生命周期内维护这些文档。更新后的文档应能快速评估漏洞影响，并应纳入现场设备（包括仍在市和使用但已停销的设备）的风险管理差异。
【依据】
- 根据《DOC010_FDA_cybersecurity_2026_part03_pages017-024.md》第6节：厂商应“update their security risk management documentation as new information becomes available, such as when new threats, vulnerabilities, assets, or adverse impacts are discovered during development and after the device is released”，并“maintain it throughout the device lifecycle”以便快速识别漏洞影响。  
- 同样在该文档中，“Over the service life of a device, FDA recommends that the risk management documentation account for any differences in the risk management for fielded devices (e.g., marketed devices or devices no longer marketed but still in use)” [ID:4]。  
- 另据《DOC010_FDA_cybersecurity_2026_part05_pages033-040.md》：制造商应“create or update appropriate documentation (e.g., threat modeling, cybersecurity risk assessment) and maintain it throughout the device lifecycle”，并“account for any differences in the risk management for fielded devices”。
【适用说明】
该建议适用于医疗器械全生命周期（TPLC）中的网络安全风险管理，包括上市前和上市后阶段。</t>
  </si>
  <si>
    <t>1. DOC010｜0.5567｜6. TPLC Security Risk Management Cybersecurity risks may continue to be identified throughout the device’s TPLC. Manufacturers should ensure they have…
2. DOC010｜0.4514｜66 For example, a manufacturer may make updates outside of the planned reasonably justified regular cycle to remediate an uncontrolled risk. ## Source…
3. DOC010｜0.4035｜47 For any testing tools or software used, the details provided may include, but may not be limited to, the name of the tool, version information as a…
4. DOC010｜0.3981｜16 In the postmarket context, design and development may also be important to ensure medical device cybersecurity and maintain medical device safety a…
5. DOC010｜0.3900｜39 Examples of SW91 defect classification mapped to CWE can be found in Annex D of AAMI SW91 Classification of Defects in Health Software. For additio…
6. DOC010｜0.3812｜42 NIST 800-160 vol. 1 rev. 1, Engineering Trustworthy Secure Systems states that security architecture definition process generates a set of represen…
7. DOC010｜0.3766｜29 AAMI TIR57 Principles for medical device security— Risk management describes the security risk management process and how the security risk managem…
8. DOC010｜0.3751｜35 The use of “component” in this guidance is consistent with the definition in 21 CFR 820.3. ## Source page 20 and the software supply chain may help…</t>
  </si>
  <si>
    <t>主要结论（持续更新安全风险管理文档以反映新信息）未被实际引用证据直接支持，但回答包含正确且有依据的内容（如纳入现场设备差异），存在重要遗漏（未明确提及更新威胁模型和持续识别漏洞），故准确度为1。回答中无无依据的具体事实。</t>
  </si>
  <si>
    <t>为TPLC风险管理回答增加持续识别/评估/缓解漏洞及及时纠正预防措施检查项。</t>
  </si>
  <si>
    <t>引用直接支持主要结论；回答未明确持续缓解漏洞和及时CAPA要求。</t>
  </si>
  <si>
    <t>E051</t>
  </si>
  <si>
    <t>VI.A Labeling Recommendations for Devices with Cybersecurity Risks</t>
  </si>
  <si>
    <t>具有网络安全风险的医疗器械标签应向用户提供哪些关键信息？</t>
  </si>
  <si>
    <t>应说明安全配置和网络部署、通信接口与第三方软件、授权软件和固件的下载及版本识别、更新可用性、异常安全事件的通知和日志、漏洞或事件响应方式，并提供持续更新的机器可读SBOM等信息。</t>
  </si>
  <si>
    <t>【结论】
具有网络安全风险的医疗器械标签应向用户提供以下关键信息：
- 设备说明和产品规格，涉及推荐的网络安全控制（如反恶意软件、防火墙使用、密码要求）。
- 足够详细的图表，允许用户实施推荐的网络安全控制。
- 网络端口和其他接口列表，包括端口功能描述，指示端口是输入、输出还是两者兼有，以及批准的目标端点。
- 关于支持基础设施要求的指导（如最低网络要求、支持的硬件/软件环境）。
- 加密接口的指导，包括安全网络部署和服务的说明，以及用户检测到网络安全漏洞或事件时的响应说明。
- 软件物料清单（SBOM），按照行业可接受的格式提供，以帮助用户管理资产、理解漏洞影响并部署对策。
- 描述用户如何下载版本可识别的制造商授权软件和固件的系统程序。
- 描述设备在检测到异常条件（安全事件）时如何响应，包括通知用户和记录相关信息。
- 设备保护关键功能的功能描述（如备份模式、禁用端口/通信）。
- 备份和恢复功能及恢复认证配置的说明。
- 认证授权用户保留和恢复设备配置的方法描述。
- 已发货设备的安全配置描述，用户可配置更改的说明，以及可能增加安全风险的配置更改识别。
- 取证证据捕获描述，包括日志文件的位置、存储、回收、归档及如何被自动化分析软件消费。
- 设备网络安全（包括组件）的支持结束和生命周期结束信息。
- 安全停用设备的指引，包括清除敏感、机密和专有数据及软件。
【依据】
依据 DOC010_FDA_cybersecurity_2026_part04_pages025-032.md 第VI章A节（Labeling Recommendations for Devices with Cybersecurity Risks）中列出的示例信息 [ID:0]，以及 DOC010_FDA_cybersecurity_2026_part05_pages033-040.md 第VI章A节（Labeling Recommendations for Devices with Cybersecurity Risks）中继续列出的信息 [ID:3]。这些文档建议制造商在标签中包含上述内容，以帮助用户理解设备的网络安全控制、潜在风险及管理措施。</t>
  </si>
  <si>
    <t>1. DOC010｜0.5674｜49 Users often manage security risks in medical device systems by an end user or within a larger risk management framework like the NIST CSF. ## Sourc…
2. DOC010｜0.5574｜21 For more information on reasonably foreseeable misuse, see the IMDRF final guidance “Principles and Practices for Medical Device Cybersecurity.” ##…
3. DOC010｜0.5454｜47 For any testing tools or software used, the details provided may include, but may not be limited to, the name of the tool, version information as a…
4. DOC010｜0.4962｜# DOC010 FDA Cybersecurity in Medical Devices (2026) - Part 5 &gt; Source pages 33-40 of the official PDF. Page-preserving RAGFlow ingestion part. ## Sou…
5. DOC010｜0.4863｜# DOC010 FDA Cybersecurity in Medical Devices (2026) - Part 8 &gt; Source pages 57-64 of the official PDF. Page-preserving RAGFlow ingestion part. ## Sou…
6. DOC010｜0.4721｜# DOC010 FDA Cybersecurity in Medical Devices (2026) - Part 7 &gt; Source pages 49-56 of the official PDF. Page-preserving RAGFlow ingestion part. ## Sou…
7. DOC010｜0.4673｜35 The use of “component” in this guidance is consistent with the definition in 21 CFR 820.3. ## Source page 20 and the software supply chain may help…
8. DOC010｜0.4576｜# DOC010 FDA Cybersecurity in Medical Devices (2026) - Part 7 &gt; Source pages 49-56 of the official PDF. Page-preserving RAGFlow ingestion part. ## Sou…</t>
  </si>
  <si>
    <t>主要结论有引用证据支持，且完整覆盖人工标准答案核心要点；但回答在结论中增加了如端口列表详细描述、取证证据捕获等引用证据未直接支持的具体事实，因此存在幻觉。</t>
  </si>
  <si>
    <t>无需修改知识库；校准裁判以联合评估连续两段标签建议证据。</t>
  </si>
  <si>
    <t>回答列举内容均由DOC010第32—33页连续引用支持，完整覆盖标准答案。</t>
  </si>
  <si>
    <t>E053</t>
  </si>
  <si>
    <t>VII.C.2 Updates and Patches</t>
  </si>
  <si>
    <t>对于已知不可接受漏洞和可能造成失控风险的关键漏洞，更新与补丁计划应说明什么？</t>
  </si>
  <si>
    <t>应说明开发和发布更新、补丁的时间表及理由。已知不可接受漏洞应在有合理依据的常规周期提供更新或补丁；可能造成失控风险的关键漏洞应尽快提供补丁或更新，并通过计划和程序保证及时分发。</t>
  </si>
  <si>
    <t>【结论】
对于已知不可接受漏洞，更新与补丁计划应说明在合理证明的常规周期内发布更新/补丁的时间线和相关理由；对于可能造成失控风险的关键漏洞，计划应说明尽快在周期外发布更新/补丁的时间线和相关理由。同时，制造商应随着新风险、威胁、漏洞等信息出现，预期并对这些计划进行适当更新。
【依据】
- 文档 DOC010_FDA_cybersecurity_2026_part05_pages033-040.md 的 Source page 37 指出：“Second, plans required by section 524B(b)(1) of the FD&amp;C Act should also describe the timeline, with associated justifications, to develop and release required updates and patches”，并明确 Section 524B(b)(2)(A) 要求对于已知不可接受漏洞，在合理证明的常规周期内发布更新和补丁；Section 524B(b)(2)(B) 要求对于可能造成失控风险的关键漏洞，尽快在周期外发布更新和补丁。
- 同一文档的 Source page 38 指出：“Third, we recommend that manufacturers of cyber devices anticipate and make appropriate updates to these plans... as new information becomes available, such as when new risks, threats, vulnerabilities, assets, or adverse impacts are discovered throughout the total product lifecycle.” [ID:3]</t>
  </si>
  <si>
    <t>1. DOC010｜0.5314｜62 For the purposes of this guidance, manufacturer procedures to carry out disclosures of the vulnerabilities and exploits may include procedures to i…
2. DOC010｜0.4683｜73 Section 524B(b)(2)(B) of the FD&amp;C Act requires manufacturers to make available postmarket updates and patches to the cyber device and related syste…
3. DOC010｜0.4573｜19 See Subclause 7.3 of ISO 13485. ## Source page 11 the device when connectivity-based features are added after marketing and distribution, or when v…
4. DOC010｜0.4558｜66 For example, a manufacturer may make updates outside of the planned reasonably justified regular cycle to remediate an uncontrolled risk. ## Source…
5. DOC010｜0.4353｜72 For more information on FDA’s least burdensome provisions, see FDA’s guidance “The Least Burdensome Provisions: Concept and Principles.” ## Source …
6. DOC010｜0.4163｜35 The use of “component” in this guidance is consistent with the definition in 21 CFR 820.3. ## Source page 20 and the software supply chain may help…
7. DOC010｜0.4081｜39 Examples of SW91 defect classification mapped to CWE can be found in Annex D of AAMI SW91 Classification of Defects in Health Software. For additio…
8. DOC010｜0.3872｜47 For any testing tools or software used, the details provided may include, but may not be limited to, the name of the tool, version information as a…</t>
  </si>
  <si>
    <t>主要结论（两种漏洞的时间表和理由）在实际引用证据（仅包含page 38）中没有直接支持，因此citation_correct为0。回答内容与标准答案基本一致，但遗漏了关键漏洞部分'通过计划和程序保证及时分发'这一重要内容，因此准确度为1。回答中没有增加人工标准答案和引用证据均不支持的具体事实，幻觉为0。</t>
  </si>
  <si>
    <t>在更新与补丁回答模板中补充“通过计划和程序保证及时分发”。</t>
  </si>
  <si>
    <t>时间表、理由和两类漏洞处理均有直接证据；遗漏及时分发保障。</t>
  </si>
  <si>
    <t>E061</t>
  </si>
  <si>
    <t>III.D.1 Assurance of Development Methodologies</t>
  </si>
  <si>
    <t>如何向FDA证明OTS开发者采用的开发方法适合器械预期用途？</t>
  </si>
  <si>
    <t>可评审OTS开发者的设计开发方法和所生成的开发、鉴定文档，证明其对特定器械预期用途充分且适当。若无法获得这种保证且风险控制后剩余风险不可接受，则需采取额外措施降低风险。</t>
  </si>
  <si>
    <t>【结论】
需要通过提供对OTS（现成）软件开发者开发方法学的评估文档，以及建立确保软件持续性能、维护和支持的机制，来向FDA证明OTS软件开发者采用的方法适合器械预期用途。
【依据】
根据《Off-The-Shelf Software Use in Medical Devices》指南（DOC011）： [ID:2]
1. 赞助商应向FDA提供保证，证明OTS软件开发者使用的产品开发方法学对于该OTS软件在特定医疗器械中的预期用途是适当和充分的。这可以包括对OTS软件开发者的设计和开发方法学以及为其OTS软件生成的开发和资格确认文档进行彻底评估（ID:0）。
2. 赞助商还需要证明存在适当的机制，以确保在原始OTS软件开发者更改OTS软件和/或终止对其支持时，能够保证OTS软件的持续性能、维护和支持（ID:1）。
3. 对于Enhanced Documentation Level的器械软件功能，一般需要提供开发方法学保证和持续维护的文档。这些信息应通过器械的设计历史文件（DHF）记录。在上市前审评过程中，FDA可能会根据需要要求提供附加信息以评估器械的安全性和有效性（ID:2）。
【适用说明】
上述关于开发方法学保证的建议主要适用于Enhanced Documentation Level的器械软件功能（ID:4中“Generally, the following recommendations for premarket documentation are applicable to devices with Enhanced Documentation”）。</t>
  </si>
  <si>
    <t>1. DOC011｜0.5149｜1. Provide assurance to the FDA that the product development methodologies used by the OTS software developer are appropriate and sufficient for the i…
2. DOC011｜0.4528｜2. Demonstrate the existence of appropriate mechanisms for assuring the continued performance, maintenance and support of the OTS software should the …
3. DOC011｜0.4121｜.18 Appendix B: Examples. ContainsNonbindingRecommendations Off-The-Shelf Software Use in MedicalDevices Guidance for Industry and Food and Drug Admin…
4. DOC009｜0.4001｜(3)Risk Management Report A risk management report should be provided to: · Show how the risk management plan has been appropriately implemented. Demo…
5. DOC011｜0.3816｜6. How will you keep track of (controll4) the OTS Software? An appropriate plan should answer the following questions: · What measures have been desig…
6. DOC009｜0.3779｜.39 ContainsNonbindingRecommendations Content of Premarket Submissions for Device Software Functions Guidance for Industry and Food and Drug Administr…
7. DOC010｜0.3704｜7.3.10 (Design and Development Files) and Subclause 4.2.3 (Medical Device File) of ISO 13485. To assist FDA’s assessment of the device risks and assoc…
8. DOC011｜0.3624｜9 D. Assurance of Development Methodologies and Continued Maintenance of OTS Software 10 .10 IV. OTS Software in Marketing Applications .</t>
  </si>
  <si>
    <t>待评测回答的主要结论（提供开发方法学评估文档及持续机制）在实际引用的证据文本中无直接支持，引用内容仅为指南背景介绍，未包含具体推荐要求，故citation_correct=0；回答包含了人工标准答案中‘评审开发方法和文档’的部分正确内容，但遗漏了‘风险控制后剩余风险不可接受时采取额外措施’这一核心要点，且添加了适用范围限定，属于重要遗漏，但仍有有效信息，故answer_accuracy=1；回答中‘需要证明存在适当机制确保持续性能、维护和支持’以及‘主要适用于Enhanced Documentation Level’均为无依据的具体事实，人工标准答案和引用证据均未提及，故hallucination=1。</t>
  </si>
  <si>
    <t>OTS开发方法回答需补充：无法获得保证且剩余风险不可接受时应采取额外措施或停止采用。</t>
  </si>
  <si>
    <t>开发方法评审和持续维护机制均有DOC011直接证据；遗漏不可接受剩余风险的处理条件。</t>
  </si>
  <si>
    <t>E066</t>
  </si>
  <si>
    <t>DOC012</t>
  </si>
  <si>
    <t>1.4 符合性</t>
  </si>
  <si>
    <t>如何判定医疗器械软件符合YY/T 0664—2020？</t>
  </si>
  <si>
    <t>应按软件安全级别实施标准规定的全部适用过程、活动和任务，并检查标准要求的所有文档（含风险管理文档），评定相应过程、活动和任务。未实施含“适当时”的要求时，必须有文件化理由。</t>
  </si>
  <si>
    <t>【结论】
判定医疗器械软件符合YY/T 0664—2020，应按照软件安全级别，实施标准中确定的所有过程、活动和任务，并通过对所有要求文档（包括风险管理文档）的检查以及对所要求过程、活动和任务的评定来确定符合性 [ID:6]。
【依据】
依据YY/T 0664—2020第1.4章“符合性”：
1. “符合本标准意指按照软件安全级别，实施在本标准中确定的所有过程、活动和任务。”
2. “通过对本标准所要求的所有文档（包括风险管理文档）的检查和对软件安全级别所要求的过程、活动和任务的评定来确定符合性。”
3. “若任何包含‘适当时（as appropriate）’的要求未实施，为说明理由而形成的文档对于本评定是必要的。”
【适用说明】
该判定要求适用于所有声称符合YY/T 0664—2020的医疗器械软件，并依据该标准第4.3章定义的软件安全级别（A、B或C）来确定具体需要实施哪些过程、活动和任务。</t>
  </si>
  <si>
    <t>1. DOC012｜0.6583｜--- document_id: STD002 standard_number: "YY/T 0664-2020" title: "医疗器械软件 软件生存周期过程" english_title: "Medical device software - Software life cycle proce…
2. DOC012｜0.6307｜- ICS 11.040.01；35.240.80 - CCS C 30 - 中华人民共和国医药行业标准 - YY/T 0664-2020 - 代替YY/T 0664-2008 - 医疗器械软件 软件生存周期过程 - Medical device software - Software life c…
3. DOC012｜0.5844｜## 3.11 医疗器械软件 medical device software 旨在集成到正在开发的医疗器械中的已开发的软件系统，或者预期作为医疗器械使用的软件系统。 ## 3.12 问题报告 problem report 使用者或其他利益相关人员认为对预期使用不安全、不适当或违反规范的医疗器械软件实…
4. DOC012｜0.5399｜- 表A.1 按软件安全级别的要求汇总 - 表B.1 ISO/IEC 12207中规定的开发（模型）策略 - 表C.1 与YY/T 0287-2017的关系 - 表C.2 与YY/T 0316-2016的关系 - 表C.3 与IEC 60601-1的关系 - 表C.4 与ISO/IEC 12207:…
5. DOC012｜0.5397｜## 4.1 *质量管理体系 医疗器械软件制造商应证实其有能力提供持续满足顾客要求和适用法规要求的医疗器械软件。 **注1：** 可通过应用符合下列要求的质量管理体系证实此能力： - YY/T 0287； - 国家质量管理体系标准；或 - 国家法规要求的质量管理体系。 **注2：** 将质量管理体系…
6. DOC012｜0.5363｜## 4.4 *遗留软件 ### 4.4.1 概述 针对遗留软件，作为应用第5章至第9章的替代方案，可按照4.4.2至4.4.5的要求证实遗留软件的符合性。 ### 4.4.2 风险管理活动 根据4.2的要求，制造商应： a) 评价来自该组织内部和/或用户的有关遗留软件中任何已知或潜在事件的任何反馈…
7. DOC012｜0.5311｜## 1.3 与其他标准的关系 在开发医疗器械时，本医疗器械软件生存周期标准和其他适用的标准共同使用。本标准与其他相关标准之间的关系参见附录C。 ## 1.4 符合性 符合本标准意指按照软件安全级别，实施在本标准中确定的所有过程、活动和任务。 **注1：** 为每项要求赋予的软件安全级别在正文中标注…
8. DOC012｜0.5171｜## 3.33 危险情况 hazardous situation 人员、财产或环境暴露于一个或多个危险（源）中的情形。 [YY/T 0316-2016，定义2.4] &lt;!-- source_pdf_page: 13; source_printed_page: 6 --&gt; ## 3.34 遗留软件 l…</t>
  </si>
  <si>
    <t>主要结论有引用证据直接支持，覆盖了人工标准答案的全部核心要点；但适用说明中自行增加了软件安全级别为A、B、C的具体分类，该信息在引用证据中无依据，构成幻觉。</t>
  </si>
  <si>
    <t>无需修改知识库；裁判应允许使用同一组引用中4.3条款支持A/B/C分级说明。</t>
  </si>
  <si>
    <t>符合性三项核心要求完整，A/B/C分类也由返回的DOC012证据支持。</t>
  </si>
  <si>
    <t>E068</t>
  </si>
  <si>
    <t>4.3 软件安全分级</t>
  </si>
  <si>
    <t>YY/T 0664—2020中A、B、C三个软件安全级别分别如何判定？</t>
  </si>
  <si>
    <t>考虑已实施的外部风险控制措施后：软件不可能促成危险情况，或虽可能促成但不会导致不可接受风险，为A级；可能促成不可接受风险且可能伤害为非严重损伤，为B级；可能伤害为死亡或严重损伤，为C级。判定时软件失效概率设为1。</t>
  </si>
  <si>
    <t>【结论】
根据YY/T 0664—2020，制造商需根据软件系统在最不利情况下促成的危险情况引起的伤害风险，赋予每个软件系统一个软件安全级别（A、B或C）。初始默认为C级，并依次判断。
【依据】
依据《YY/T 0664—2020》第4.3节“软件安全分级”规定：
&gt; “制造商应根据软件系统在最不利情况下（如图3所示）促成的危险情况引发的对患者、操作者或其他人员伤害的风险，赋予每个软件系统一个软件安全级别（A、B或C）。” [ID:1]
同一条款下进一步说明：
&gt; “初始默认为C级，并依次判断：” [ID:1]
【适用说明】
当前知识库中未检索到A、B、C级之间更详细的判定准则或图3的具体判断流程。本结论仅依据文档中明确提及的初始默认级别与基于风险的判定原则。</t>
  </si>
  <si>
    <t>1. DOC012｜0.4756｜--- document_id: STD002 standard_number: "YY/T 0664-2020" title: "医疗器械软件 软件生存周期过程" english_title: "Medical device software - Software life cycle proce…
2. DOC012｜0.4438｜## 4.1 *质量管理体系 医疗器械软件制造商应证实其有能力提供持续满足顾客要求和适用法规要求的医疗器械软件。 **注1：** 可通过应用符合下列要求的质量管理体系证实此能力： - YY/T 0287； - 国家质量管理体系标准；或 - 国家法规要求的质量管理体系。 **注2：** 将质量管理体系…
3. DOC012｜0.4254｜- 9 软件问题解决过程 - 9.1 编写问题报告 - 9.2 调查问题 - 9.3 通知相关方 - 9.4 使用变更控制过程 - 9.5 保持记录 - 9.6 分析问题的趋势 - 9.7 验证软件问题的解决 - 9.8 测试文档的内容 - 附录A（资料性附录）本标准要求的理由说明 - 附录B（资料…
4. DOC012｜0.4221｜- ICS 11.040.01；35.240.80 - CCS C 30 - 中华人民共和国医药行业标准 - YY/T 0664-2020 - 代替YY/T 0664-2008 - 医疗器械软件 软件生存周期过程 - Medical device software - Software life c…
5. DOC012｜0.4221｜- 表A.1 按软件安全级别的要求汇总 - 表B.1 ISO/IEC 12207中规定的开发（模型）策略 - 表C.1 与YY/T 0287-2017的关系 - 表C.2 与YY/T 0316-2016的关系 - 表C.3 与IEC 60601-1的关系 - 表C.4 与ISO/IEC 12207:…
6. DOC012｜0.4209｜### 5.1.2 保持对软件开发计划的更新 适当时，制造商应随着开发的进行更新计划。[A、B、C级] ### 5.1.3 引用系统设计和开发的软件开发计划 在软件开发计划中，制造商应： a) 引用系统需求，作为软件开发的输入； b) 包括或引用用于协调软件开发和系统开发所必需的规程，以满足4.1的…
7. DOC012｜0.4048｜## 1.3 与其他标准的关系 在开发医疗器械时，本医疗器械软件生存周期标准和其他适用的标准共同使用。本标准与其他相关标准之间的关系参见附录C。 ## 1.4 符合性 符合本标准意指按照软件安全级别，实施在本标准中确定的所有过程、活动和任务。 **注1：** 为每项要求赋予的软件安全级别在正文中标注…
8. DOC012｜0.4042｜- 前言 - 引言 - 1 范围 - 1.1 目的 - 1.2 应用范围 - 1.3 与其他标准的关系 - 1.4 符合性 - 2 规范性引用文件 - 3 术语和定义 - 4 总要求 - 4.1 质量管理体系 - 4.2 风险管理 - 4.3 软件安全分级 - 4.4 遗留软件 - 5 软件开发过程…</t>
  </si>
  <si>
    <t>主要结论（A、B、C级的具体判定标准）未被实际引用证据直接支持；回答包含部分正确且有依据的内容（初始默认为C级），但遗漏了核心判定条件，属于重要遗漏，故准确度为1；未增加无依据的具体事实。</t>
  </si>
  <si>
    <t>补全DOC012图3分级流程切片，明确A/B/C判定条件、外部风险控制和失效概率设为1。</t>
  </si>
  <si>
    <t>引用支持按风险分级及初始C级，但回答未给出题目要求的A/B/C具体判定准则。</t>
  </si>
  <si>
    <t>E070</t>
  </si>
  <si>
    <t>软件系统分解为软件项后，安全级别如何继承和调整？</t>
  </si>
  <si>
    <t>子软件项原则上继承父软件项或软件系统的安全级别。若要赋予不同级别，制造商应文件化理由并解释如何隔离以支持单独分级；对一组软件项通常按其中最高级别执行要求，使用较低级别也需在风险管理文档中说明理由。</t>
  </si>
  <si>
    <t>【结论】
软件系统分解为软件项后，各软件项的安全级别应当继承自系统在风险控制措施之前的综合判定结果；级别调整仅能通过外部风险控制措施实现。
【依据】
根据DOC003中2.3.2节的要求：“软件安全性级别应当在采取风险控制措施之前，结合软件的预期用途、使用场景和核心功能进行综合判定，并仅可通过外部风险控制措施降低级别 [ID:2]。”该要求说明安全级别的判定基准是系统级属性（预期用途、使用场景、核心功能），级别调整的手段仅限于外部风险控制措施。
【适用说明】
该要求适用于软件生存周期过程中的质量保证活动，适用于软件安全性级别的判定与调整场景。</t>
  </si>
  <si>
    <t>1. DOC012｜0.3143｜## 3.24 软件项 software item 计算机程序中任何可识别的部分，例如：源代码、目标代码、控制代码、控制数据或这些项的集合。 &lt;!-- source_pdf_page: 12; source_printed_page: 5 --&gt; **注1：** 三个术语描述软件分解。顶层是软件系统…
2. DOC010｜0.2554｜99 Definition is adapted from Medical Device and Health IT Joint Security Plan version 2 (JSP2). ## Source page 60 Denial of Service – prevention or i…
3. DOC003｜0.2543｜2.3.2 软件生存周期过程质量保证活动要求应当与软件安 全性级别相适宜。软件安全性级别应当在采取风险控制措施之 前，结合软件的预期用途、使用场景和核心功能进行综合判定， 并仅可通过外部风险控制措施降低级别。
4. DOC010｜0.2513｜74 For more information about current review practices for 510(k) submission, see FDA’s guidance “The 510(k) Program: Evaluating Substantial Equivalen…
5. DOC009｜0.2411｜ContainsNonbindingRecommendations should provide a high-level diagram that communicates the overview and points to the other diagrams that provide add…
6. DOC010｜0.2387｜4. Third-Party Software Components ............................................................................... 15
7. DOC011｜0.2361｜ContainsNonbindingRecommendations OTs Software labeling should indicate the minimum hardware platforms on which the software is validated to run (e.g.…
8. DOC009｜0.2296｜..20 System and Software Architecture Diagram... Software Design Specification (SDS). F. Basic Documentation Level....</t>
  </si>
  <si>
    <t>主要结论（继承自系统在风险控制措施之前的综合判定结果）无引用证据直接支持，引用证据仅涉及判定时机与降低方式，未提及继承机制；但回答包含正确且有依据的内容（级别调整仅可通过外部风险控制措施），存在重要遗漏，因此准确度为1；未增加无依据的具体事实。</t>
  </si>
  <si>
    <t>补充DOC012软件系统分解后的级别继承、隔离理由及组内最高级别规则的完整切片。</t>
  </si>
  <si>
    <t>未召回目标继承条款；回答只给出外部风险控制的一般规则，核心继承与调整要求缺失。</t>
  </si>
  <si>
    <t>E072</t>
  </si>
  <si>
    <t>4.4.2 风险管理活动</t>
  </si>
  <si>
    <t>继续使用遗留软件时应开展哪些风险管理活动？</t>
  </si>
  <si>
    <t>应评价组织内部和用户反馈及生产后信息；评价既有风险控制在预期寿命内是否持续有效；识别继续使用相关危险情况及软件促成危险情况的潜在原因，并为每个原因确定风险控制措施。</t>
  </si>
  <si>
    <t>【结论】
当前知识库中未检索到足够依据，无法给出确定结论。
【依据】
知识库中仅对“遗留软件”给出了定义（YY/T 0664—2020，3.34条款），但未涉及继续使用遗留软件时应开展的具体风险管理活动 [ID:5]。其他检索片段也未包含相关要求或活动描述。</t>
  </si>
  <si>
    <t>1. DOC009｜0.4622｜(3)Risk Management Report A risk management report should be provided to: · Show how the risk management plan has been appropriately implemented. Demo…
2. DOC009｜0.4398｜(2) Risk Assessment A risk assessment that includes a risk analysis, risk evaluation, risk control and a benefit-risk analysis (where applicable) shou…
3. DOC009｜0.4322｜(1) Risk Management Plan FDA recommends sponsors submit a risk management plan to support the effectiveness of the risk management activities and proc…
4. DOC009｜0.4261｜16. A facility use continuous ventilator. Description: The device is intended to provide continuous ventilation for adult, pediatric, and neonatal pat…
5. DOC011｜0.4153｜6. How will you keep track of (controll4) the OTS Software? An appropriate plan should answer the following questions: · What measures have been desig…
6. DOC012｜0.4064｜## 3.33 危险情况 hazardous situation 人员、财产或环境暴露于一个或多个危险（源）中的情形。 [YY/T 0316-2016，定义2.4] &lt;!-- source_pdf_page: 13; source_printed_page: 6 --&gt; ## 3.34 遗留软件 l…
7. DOC010｜0.4058｜39 Examples of SW91 defect classification mapped to CWE can be found in Annex D of AAMI SW91 Classification of Defects in Health Software. For additio…
8. DOC010｜0.3986｜35 The use of “component” in this guidance is consistent with the definition in 21 CFR 820.3. ## Source page 20 and the software supply chain may help…</t>
  </si>
  <si>
    <t>待评测回答的主要结论（无法给出确定结论）有引用证据直接支持（证据中未包含风险管理活动）。但回答没有提供任何与问题直接相关、正确且有依据的有效内容（即未列出任何风险管理活动），因此准确度为0。未出现幻觉。</t>
  </si>
  <si>
    <t>提高DOC012 4.4.2遗留软件风险管理切片召回；拒答时只说明本轮证据不足。</t>
  </si>
  <si>
    <t>目标条款未召回，且错误断言知识库仅有遗留软件定义、没有相关活动。</t>
  </si>
  <si>
    <t>E077</t>
  </si>
  <si>
    <t>DOC013</t>
  </si>
  <si>
    <t>4.2 管理职责</t>
  </si>
  <si>
    <t>最高管理者对医疗器械风险管理过程承担哪些主要职责？</t>
  </si>
  <si>
    <t>应提供充分资源、分配胜任人员，规定并文件化建立风险可接受性准则的方针，使其基于法规、标准、最新技术水平和利益相关方关注点，并按计划间隔评审风险管理过程的适宜性和持续有效性，记录决定与措施。</t>
  </si>
  <si>
    <t>【结论】
当前知识库中未检索到足够依据，无法给出确定结论。
【依据】
知识库文档中未包含直接描述“最高管理者对医疗器械风险管理过程承担主要职责”的条款或内容。现有文档主要涉及FDA的网络安全指南中对安全风险管理计划、安全架构、测试等的推荐要求，以及ISO 13485的设计开发过程一般性要求，但未明确提及最高管理者的具体职责。</t>
  </si>
  <si>
    <t>1. DOC010｜0.3700｜29 AAMI TIR57 Principles for medical device security— Risk management describes the security risk management process and how the security risk managem…
2. DOC010｜0.3699｜42 NIST 800-160 vol. 1 rev. 1, Engineering Trustworthy Secure Systems states that security architecture definition process generates a set of represen…
3. DOC009｜0.3578｜(1) Risk Management Plan FDA recommends sponsors submit a risk management plan to support the effectiveness of the risk management activities and proc…
4. DOC009｜0.3293｜ContainsNonbindingRecommendations It is the sponsor's responsibility to proactively and comprehensively consider risks as part of the device's risk as…
5. DOC010｜0.3230｜30 See 21 CFR Part 820. ## Source page 16 risk assessment and be assessed for additional control measures or risk transfer31 to the user/operator, or,…
6. DOC010｜0.3149｜46 See Subclause 7.3 of ISO 13485. ## Source page 27 FDA recommends providing, at minimum, the following types of views in premarket submissions: · Gl…
7. DOC010｜0.3093｜9 For more information on the German hospital ransomware attack, see The untold story of a cyberattack, a hospital and a dying woman. ## Source page 8…
8. DOC010｜0.3050｜33 While security architecture is likely captured as a component of the security risk management process, it is discussed separately for the purposes …</t>
  </si>
  <si>
    <t>待评测回答声称未检索到足够依据而拒绝回答，但实际引用证据为空，主要结论无证据支持；且拒绝回答未提供任何有效信息，与人工标准答案明显矛盾，故准确度为0；未增加无依据的具体事实，幻觉为0。</t>
  </si>
  <si>
    <t>为DOC013 4.2最高管理者职责增加标题、关键词和完整问答式切片；统一安全拒答措辞。</t>
  </si>
  <si>
    <t>Top 8未出现DOC013，并错误断言知识库没有最高管理者职责条款。</t>
  </si>
  <si>
    <t>E081</t>
  </si>
  <si>
    <t>5.3—5.5</t>
  </si>
  <si>
    <t>风险分析应如何从安全相关特性推进到危险情况和风险估计？</t>
  </si>
  <si>
    <t>先识别并文件化可能影响安全的定性、定量特性及适用界限；再基于预期用途和误使用识别正常及故障状态下的危险、事件序列和危险情况；最后对每个危险情况估计伤害发生概率和严重度，或在概率无法估计时按既定方法记录分析。</t>
  </si>
  <si>
    <t>【结论】
风险分析应从安全相关特性出发，通过系统性地识别危险（源）并估计风险，推进到危险情况识别和后续的风险估计。
【依据】
1. 根据DOC012 YYT 0664—2020，3.16条款：“风险分析 risk analysis 系统地运用现有信息确定危险（源）和估计风险的过程 [ID:2]。”
2. 根据DOC012 YYT 0664—2020，3.33条款：“危险情况 hazardous situation 人员、财产或环境暴露于一个或多个危险（源）中的情形 [ID:1]。”这一定义明确了危险情况与危险（源）之间的直接关联。
3. 根据DOC009 FDA_premarket_device_software_functions_2023.pdf，风险分析部分要求：“应对每个识别出的危险，考虑可合理预见的序列或事件组合，这些可能导致危险情况，并识别和记录产生的危险情况。”
4. 根据DOC009 FDA_premarket_device_software_functions_2023.pdf，风险分析部分要求：“估计每个危险和危险情况的风险，包括伤害的严重度。”
5. 根据DOC013 GBT 42062-2022，3.22条款：“风险估计 risk estimation 用于对伤害发生概率和该伤害严重度赋值的过程 [ID:5]。”明确了风险估计的输出是对概率和严重度的赋值。
【适用说明】
上述条款分别来自YY/T 0664-2020、FDA预市场指南（2023）和GB/T 42062-2022，均为医疗器械软件风险管理领域的通用要求。</t>
  </si>
  <si>
    <t>1. DOC009｜0.5053｜(2) Risk Assessment A risk assessment that includes a risk analysis, risk evaluation, risk control and a benefit-risk analysis (where applicable) shou…
2. DOC012｜0.4362｜## 3.33 危险情况 hazardous situation 人员、财产或环境暴露于一个或多个危险（源）中的情形。 [YY/T 0316-2016，定义2.4] &lt;!-- source_pdf_page: 13; source_printed_page: 6 --&gt; ## 3.34 遗留软件 l…
3. DOC012｜0.3561｜## 3.16 风险分析 risk analysis 系统地运用现有信息确定危险（源）和估计风险的过程。 [YY/T 0316-2016，定义2.17] ## 3.17 风险控制 risk control 作出决策并实施措施，以便降低风险或把风险维持在规定水平的过程。 [YY/T 0316-2016…
4. DOC013｜0.3401｜## 3.16 记录 record 阐明所取得的结果或提供所完成活动的证据的文件。 **注1：** 记录可用于正式的可追溯性活动，并为验证、预防措施和纠正措施提供证据。 **注2：** 通常，记录不需要控制版本。 [来源：GB/T 19000-2016，3.8.10] ## 3.17 剩余风险 re…
5. DOC009｜0.3188｜15. An implantable cardiac pacemaker used to treat bradycardia Description: The device is an implanted, programmable dual-chamber pulse generator inte…
6. DOC013｜0.3166｜## 3.22 风险估计 risk estimation 用于对伤害（3.3）发生概率和该伤害严重度（3.27）赋值的过程（3.14）。 [来源：ISO/IEC Guide 63:2019，3.13] ## 3.23 风险评价 risk evaluation 将已估计的风险（3.18）和给定的风险（…
7. DOC009｜0.3161｜22. A device software function that provides a sepsis alarm to a healthcare provider in a critical care environment. Description: Software intended to…
8. DOC009｜0.3155｜26. A radiation therapy treatment system (e.g., Linear accelerator). ContainsNonbindingRecommendations Description: The device is intended to noninvas…</t>
  </si>
  <si>
    <t>主要结论中“从安全相关特性出发”缺乏实际引用的证据支持（证据仅包含风险分析、危险情况和风险估计的定义，未涉及安全相关特性作为起点），故citation_correct为0。回答虽提到识别危险和估计风险等正确内容，但未按人工标准答案要点完整说明如何从安全相关特性推进到危险情况和风险估计的具体步骤（如文件化特性、基于预期用途识别危险情况等），存在重要遗漏，故answer_accuracy为1。回答未增加人工标准答案和引用证据均不支持的具体事实，hallucination为0。</t>
  </si>
  <si>
    <t>强化DOC013 5.3—5.5连续流程切片，并在回答中按特性、危险情况、风险估计三步展开。</t>
  </si>
  <si>
    <t>现有引用支持危险识别、事件序列及风险估计，但遗漏安全相关特性及适用界限的文件化。</t>
  </si>
  <si>
    <t>E091</t>
  </si>
  <si>
    <t>DOC015</t>
  </si>
  <si>
    <t>第三章 第四节 第三十八—三十九条</t>
  </si>
  <si>
    <t>上市后定期风险评价报告应包含什么，通常在何时完成？</t>
  </si>
  <si>
    <t>应汇总分析不良事件报告、监测资料和国内外风险信息，评价风险与受益，记录风险控制措施。自首次注册或备案起每满一年后的60日内完成上年度报告；第一类器械由持有人留存备查。</t>
  </si>
  <si>
    <t>【结论】
当前知识库中未检索到足够依据，无法给出确定结论。
【依据】
检索到的文档内容涉及以下相关方面，但未直接回答“上市后定期风险评价报告应包含什么以及何时完成”：
- 风险管理文件应“demonstrate appropriate methods are established for the collection and assessment of relevant production and post-production information”（ID:1，风险管理报告部分）。
- FDA建议制造商“track and record the measures and metrics”并在“premarket submissions and PMA annual reports”中提供（ID:0，第23页）。
- 上市后漏洞和风险管理相关要求参考Postmarket Cybersecurity Guidance（ID:0，第23页）。
- “Section 524B(b)(2)(B) of the FD&amp;C Act requires manufacturers to make available postmarket updates and patches ...”（ID:5，第73条） [ID:5]。
- 对于523(b)(3)，建议提供SBOM（ID:6，第40页）。
但这些片段未明确说明“上市后定期风险评价报告”的具体构成要素或完成时间要求。</t>
  </si>
  <si>
    <t>1. DOC010｜0.3085｜39 Examples of SW91 defect classification mapped to CWE can be found in Annex D of AAMI SW91 Classification of Defects in Health Software. For additio…
2. DOC009｜0.2629｜(3)Risk Management Report A risk management report should be provided to: · Show how the risk management plan has been appropriately implemented. Demo…
3. DOC010｜0.2608｜30 See 21 CFR Part 820. ## Source page 16 risk assessment and be assessed for additional control measures or risk transfer31 to the user/operator, or,…
4. DOC009｜0.2548｜(1) Risk Management Plan FDA recommends sponsors submit a risk management plan to support the effectiveness of the risk management activities and proc…
5. DOC010｜0.2500｜16 In the postmarket context, design and development may also be important to ensure medical device cybersecurity and maintain medical device safety a…
6. DOC010｜0.2452｜73 Section 524B(b)(2)(B) of the FD&amp;C Act requires manufacturers to make available postmarket updates and patches to the cyber device and related syste…
7. DOC010｜0.2431｜72 For more information on FDA’s least burdensome provisions, see FDA’s guidance “The Least Burdensome Provisions: Concept and Principles.” ## Source …
8. DOC011｜0.2352｜(1)Safety Introduction of new or modified OTS software component(s) to a product baseline may impact the safety of the product. Therefore, a safety im…</t>
  </si>
  <si>
    <t>主要结论为无法确定，但引用证据未支持此结论，且未提供任何与问题直接相关的有效内容，因此citation_correct为0、answer_accuracy为0；回答未增加无依据的具体事实，hallucination为0。</t>
  </si>
  <si>
    <t>为DOC015定期风险评价报告的内容和年度60日时限建立独立结构化切片。</t>
  </si>
  <si>
    <t>未召回DOC015，回答以“本轮未检索到足够依据”安全拒答。</t>
  </si>
  <si>
    <t>E095</t>
  </si>
  <si>
    <t>DOC016</t>
  </si>
  <si>
    <t>第二章 第十二条</t>
  </si>
  <si>
    <t>评价缺陷医疗器械时应重点考虑哪些因素？</t>
  </si>
  <si>
    <t>应考虑是否符合强制标准和产品技术要求、使用中是否发生故障或伤害、现有环境下是否会造成伤害及相关证据、涉及地区和人群、伤害程度、发生概率、短期和长期后果及其他可能伤害因素。</t>
  </si>
  <si>
    <t>1. DOC010｜0.3886｜19 See Subclause 7.3 of ISO 13485. ## Source page 11 the device when connectivity-based features are added after marketing and distribution, or when v…
2. DOC011｜0.3832｜ContainsNonbindingRecommendations OTs Software labeling should indicate the minimum hardware platforms on which the software is validated to run (e.g.…
3. DOC010｜0.3565｜81 For the purposes of this guidance, “allow-list” means a list of discrete entities, such as hosts or applications that are known to be benign and ar…
4. DOC009｜0.3503｜(1) Risk Management Plan FDA recommends sponsors submit a risk management plan to support the effectiveness of the risk management activities and proc…
5. DOC009｜0.3418｜.39 ContainsNonbindingRecommendations Content of Premarket Submissions for Device Software Functions Guidance for Industry and Food and Drug Administr…
6. DOC010｜0.3407｜# DOC010 FDA Cybersecurity in Medical Devices (2026) - Part 7 &gt; Source pages 49-56 of the official PDF. Page-preserving RAGFlow ingestion part. ## Sou…
7. DOC011｜0.3362｜6. How will you keep track of (controll4) the OTS Software? An appropriate plan should answer the following questions: · What measures have been desig…
8. DOC011｜0.3342｜(1)Safety Introduction of new or modified OTS software component(s) to a product baseline may impact the safety of the product. Therefore, a safety im…</t>
  </si>
  <si>
    <t>回答未能提供任何有效信息，拒绝作答，且无引用证据支持主要结论，核心事实完全缺失。</t>
  </si>
  <si>
    <t>为DOC016缺陷器械评价因素建立完整列表型切片并添加相关问题。</t>
  </si>
  <si>
    <t>未召回DOC016，回答安全拒答且未增加无依据事实。</t>
  </si>
  <si>
    <t>关键问题引用片段明细</t>
  </si>
  <si>
    <t>每条记录对应一次RAGFlow引用；按问题ID或引用排名筛选。</t>
  </si>
  <si>
    <t>引用排名</t>
  </si>
  <si>
    <t>文档代码</t>
  </si>
  <si>
    <t>文档名称</t>
  </si>
  <si>
    <t>相似度</t>
  </si>
  <si>
    <t>Chunk ID</t>
  </si>
  <si>
    <t>引用内容</t>
  </si>
  <si>
    <t>位置信息</t>
  </si>
  <si>
    <t>DOC010_FDA_cybersecurity_2026_part04_pages025-032.md</t>
  </si>
  <si>
    <t>a3fc239d5babe08a</t>
  </si>
  <si>
    <t>50 See FDA’s Guidance “Applying Human Factors and Usability Engineering to Medical Devices.”</t>
  </si>
  <si>
    <t>[[10, 9, 9, 9, 9]]</t>
  </si>
  <si>
    <t>DOC009_FDA_premarket_device_software_functions_2023.pdf</t>
  </si>
  <si>
    <t>9e18fbb8a6c29413</t>
  </si>
  <si>
    <t>.39
ContainsNonbindingRecommendations
Content of Premarket Submissions for Device Software Functions
Guidance for Industry and Food and Drug Administration Staff
This guidance represents the current thinking of the Food and Drug Administration (FDA or Agency) on this topic. It does not establish any rights for any person and is not binding on FDA or the public. You can use an alternative approach if it satisfies the requirements of the applicable statutes and regulations. To discuss an alternative approach, contact the FDA staff or Office responsible for this guidance as listed on the title page.
I. Introduction
This guidance document is intended to provide information regarding the recommended documentation for premarket submissions for FDA's evaluation of the safety and effectiveness of device software functions, which are software functions that meet the definition of a device under section 201(h) of the Federal Food, Drug, and Cosmetic Act (FD&amp;C Act).1 This document replaces FDA's Guidance for the Content of Premarket Submissions for Software Contained in Medical Devices issued on May 11, 2005, and updates FDA's thinking related to the documentation FDA recommends sponsors include for the review of device software functions in premarket submissions.
The recommendations in this guidance are intended to facilitate FDA's premarket review. This guidance describes information that would be typically generated and documented? during software development, verification, and validation. The least burdensome approach was applied to identify the minimum amount of information that, based on our experience, would generally be needed to support a premarket submission for a device that uses software. During premarket review, FDA may request additional information that is needed to evaluate the submission. For example, in order to demonstrate a reasonable assurance of safety and effectiveness for devices
ContainsNonbindingRecommendations
that use software, documentation related to the requirements of the Quality System Regulation (QSR) (21 CFR Part 820) is often a necessary part of the premarket submission. As part of QSR design controls, a manufacturer must “establish and maintain procedures for validating the device design,” which “shall include software validation and risk analysis, where appropriate' (21 CFR 820.30(g))
The documentation recommended in this guidance is based on FDA's experience evaluating the safety and effectiveness of device software. However, sponsors may use alternative approaches and provide different documentation so long as their approach and documentation satisfy premarket submission requirements in applicable statutory provisions and regulations. For the current edition(s) of the FDA-recognized consensus standard(s) referenced in this document, see the FDA Recognized Consensus Standards Database.? For more information regarding use of consensus standards in regulatory submissions, please refer to the FDA guidance titled Appropriate Use of Voluntary Consensus Standards in Premarket Submissions for Medical Devices4 and Standards Development and the Use of Standards in Regulatory Submissions Reviewed in the Center for Biologics Evaluation and Research.5
As stated above, this guidance identifies the software information FDA considers to generally be necessary to support a premarket submission. The recommendations in this guidance are also intended to facilitate FDA's premarket review. FDA anticipates that the Agency and industry will need up to 60 days after the publication of this guidance to operationalize the recommendations discussed. However, CDRH intends to review any such information if submitted at any time.
In general, FDA's guidance documents do not establish legally enforceable responsibilities.
Instead, guidances describe the Agency's current thinking on a topic and should be viewed only as recommendations, unless specific regulatory or statutory requirements are cited. The use of the word should in Agency guidances means that something is suggested or recommended, but not required.
ll.Background
The purpose of this guidance is to describe FDA's thinking on the recommended documentation sponsors should include in premarket submissions for FDA's evaluation of the safety and effectiveness of device software functions. This thinking recognizes recent changes to the FD&amp;C Act made by the 21st Century Cures Act (Cures Act), which amended section 520 of the FD&amp;C Act and excludes certain software functions from the device definition. It also considers the rapidly evolving nature of digital health and recent FDA-recognized consensus standards related to software. This guidance, as described in Section II (Scope), is intended to complement other existing guidance documents that provide recommendations related to software, including the
ContainsNonbindingRecommendations
guidance documents listed below. The following guidance documents represent a subset of FDA guidances with digital health content° relevant to premarket software documentation activities.
Please note the list is not exhaustive and is subject to change:
Multiple Function Device Products: Policy and Considerations Off-The-Shelf Software Use in Medical Devices8 Design Considerations and Premarket Submission Recommendations for Interoperable MedicalDevices9 General Principles of Software Validation10 Content of Premarket Submissions for Management of Cybersecurity in Medical Devices* Cybersecurity for Networked Medical Devices Containing Off-The-Shelf (OTS) Software12 Applying Human Factors and Usability Engineering to Medical Devices 13
FDA encourages the consideration of these guidances when developing device software functions and preparing premarket software documentation.
The emergence of consensus standards related to software has helped to improve the consistency and quality of software development and documentation, particularly with respect to activities such as risk assessment and management. When possible, FDA harmonized the terminology and recommendations in this guidance with software-related consensus standards, such as the following examples. The following standards are not intended to represent an exhaustive list and are subject to change:14
· ANSI/AAMI/ISO 14971: Medical devices - Applications of risk management to medical devices ·ANSI/AAMI/IEC 62304: Medical Device Software - Software Life Cycle Processes ANSIAAMI SW91: Classification of defects in health software
ContainsNonbindingRecommendations
The Agency encourages the consideration of these FDA-recognized consensus standards when developing device software functions and preparing premarket software documentation. When assessing the appropriate Documentation Level for the device and the overall recommended documentation for inclusion in a premarket submission, please refer to Section V (Documentation Level) and Section VI (Recommended Documentation) of this guidance.
Section 3308 of the Food and Drug Omnibus Reform Act of 2022, Title II of Division FF of the Consolidated Appropriations Act, 2023, Pub. L. No. 117-328 ("FDORA"), enacted on December 29, 2022, added section 515C “Predetermined Change Control Plans for Devices" to the FD&amp;C Act (section 515C). Under section 515C, FDA can approve or clear a predetermined change control plan (PCCP) for a device that describes planned changes that may be made to the device and that would otherwise require a supplemental premarket approval application or premarket notification. For example, section 515C provides that a supplemental premarket approval application (section 515C(a)) or a premarket notification (section 515C(b)) is not required for a change to a device if the change is consistent with a PCCP that is approved or cleared by FDA.
Section 515C also provides that FDA may require that a PCCP include labeling for safe and effective use of a device as such device changes pursuant to such plan, notification requirements if the device does not function as intended pursuant to such plan, and performance requirements for changes made under the plan. If you are interested in proposing a PCCP in your marketing submission, we encourage you to submit a Pre-Submission to engage in further discussion with CDRH. See FDA's guidance “Requests for Feedback and Meetings for Medical Device Submissions: The Q-Submission Program? available at https://www.fda.gov/regulatory- information/search-fda-guidance-documents/requests-feedback-and-meetings-medical-device- submissions-q-submission-program.
Iml.Scope
For the purposes of this document, FDA refers to a software function that meets the definition of a device as a device software function. For any given product, the term “function" is a distinct purpose of the product, which could be the intended use or a subset of the intended use of the product.15 For example, a product with an intended use to analyze data has one function: analysis. A product with an intended use to store, transfer, and analyze data has three functions: (1) storage, (2) transfer, and (3) analysis. As this example illustrates, a product may contain multiple functions.
This guidance is intended to cover device software functions. Examples include, but are not limited to, firmware and other means for software-based control of medical devices, software accessories to medical devices, and software onlyl° function(s) that meet the definition of a device.
ContainsNonbindingRecommendations
This guidance recommends the information to provide in a premarket submission that includes a device software function(s). For the purposes of this guidance, the term premarket submission includes, but is not limited to, premarket notification (510(k)) submission, De Novo classification request, Premarket Approval (PMA) application, Investigational Device Exemption (IDE), Humanitarian Device Exemption (HDE), or Biologics License Application (BLA).
Certain devices are subject to premarket review through a BLA under section 351 of the Public Health Service Act.
This guidance does not apply to automated manufacturing and Quality System softwarel7 or software that is not a device. For further information or to clarify the documentation expectations, please contact the responsible FDA review division.
Generally, the recommendations in this guidance apply to the device constituent part of a combination product18 (such as drug-device and biologic-device combination products) when the device constituent part19 includes a device software function, including combination products assigned to CDER and CBER regulated under drug or biological product market submission types. For more information, contact the FDA review Division that will have the lead review for the combination product.20
Other FDA guidance documents may recommend additional software-related documentation for inclusion in a premarket submission. For example, recommendations regarding cybersecurity information to include in a device premarket submission can be found in the guidances “Content of Premarket Submissions for Management of Cybersecurity in Medical Devices"” and "Cybersecurity for Networked Medical Devices Containing Off-The-Shelf (OTS) Software.*21 Section If (Background) references other relevant guidance documents that supplement the recommendations contained in this guidance.
ContainsNonbindingRecommendations
Device software functions subject to specific special controls22 may require additional software- related documentation in a premarket submission. As applicable, please refer to the relevant special controls for the device.
This guidance does not apply to the software-related documentation that may be needed to evaluate postmarket software device issues, including corrections and removals.23
While this guidance identifies the documentation sponsors should include in premarket submissions, this guidance is not meant to provide recommendations regarding how device software should be developed, verified, and validated. This guidance does not recommend the use of any specific software life cycle model or development methodology (such as waterfall model or other variations thereof, spiral model, Agile model, etc.). Sponsors should establish a software life cycle model that is appropriate for their product and organization, and meets the applicable regulatory requirements. The software life cycle model that is selected should cover the software throughout its total product life cycle. Regardless of the software lifecycle model being utilized, sponsors should ensure that the establishment of their design history file (DHF)24 documentation is synchronized with their software development, verification, and validation efforts. DHF documentation that is created retrospectively or following a prolonged period of time after actual software development, verification, and validation efforts could raise concerns regarding whether a developer has adequate control of their design process. For recommendations on device software development, verification, and validation, please consult software-related FDA-recognized voluntary consensus standards and other software-related FDA guidance documents referenced in this guidance (e.g., “General Principles of Software Validation'25).
IV. Definitions
The following terms are used for the purposes of this guidance:
Device Software Function - Software function that meets the device definition in section 201(h) of the FD&amp;C Act. As discussed above, the term “function" is a distinct purpose of the product, which could be the intended use or a subset of the intended use of the product
ContainsNonbindingRecommendations
Off-the-Shelf (OTS) Software26 - A generally available software component used by a device manufacturer for which the manufacturer cannot claim complete software life cycle control (e.g., operating system, printer/display libraries).
Serious Injury27 - An injury or illness that:
Is life threatening,
1)
Results in permanent impairment of a body function or permanent damage to a
2)
body structure, or Necessitates medical or surgical intervention to preclude permanent impairment
3)
of a body function or permanent damage to a body structure. Permanent is defined as irreversible impairment or damage to a body structure or function, excluding trivial impairment or damage.
Software Verification and Software Validation - This guidance uses the terms “software verification' and “software validation," which are described in further detail below.
· For the purposes of this guidance, software verification is confirmation by objective evidence that the output of a particular phase of development meets all the input requirements for that phase. Software verification involves evaluating the consistency, completeness, and correctness of the software and its supporting documentation, as it is being developed, and provides support for a subsequent conclusion that software is validated. Software testing is one of several verification activities intended to confirm that the software development output meets its input requirements. Other verification activities include source code evaluations (e.g., code inspections and walkthroughs), document inspections, design reviews, technical evaluations (e.g., software architecture, software detailed design, etc.) and traceability analyses (e.g., software requirements specification to software design specification (and vice versa), source code to software design specification (and vice versa), and test cases to source code and to software design specification). For example, the input and output of the design phase are known as Software Requirements Specification (SRS) and Software Design Specification (SDS), respectively. In this case, software verification would involve confirming by objective evidence (e.g., reviews, traceability analysis) that the software design as documented in the SDS (i.e., output) correctly and completely implements all the requirements of the SRS (i.e., input)
· For the purposes of this guidance, software validation refers to establishing, by objective evidence, that the software specifications conform to user needs and intended uses, and that the particular requirements implemented through software can be consistently fulfilled. Software validation is a part of design validation of the finished device. It involves checking for proper operation of the software in its actual or simulated use environment, including integration into the final device where appropriate. Software validation is highly dependent upon comprehensive software testing and other
ContainsNonbindingRecommendations
verification tasks previously completed at each stage of the software development life cycle. Planning, requirements, traceability, testing, risk assessment, design reviews, change management, and many other aspects of good software engineering are important activities that together help to support a conclusion that software is validated.
The above descriptions of software verification and software validation are consistent with FDA's thinking as described in the guidance “General Principles of Software Validation."
V. Documentation Level
The recommended documentation for a premarket submission depends on the device's risk to a patient, a user of a device, or others in the environment of use. FDA intends to take a risk-based approach to help determine the device's Documentation Level, which is either Basic or Enhanced. The purpose of the Documentation Level is to help identify the minimum amount of information that would support a premarket submission that includes device software functions.
The Documentation Level of a device is based on the risks of its device software function(s) in the context of the device's intended use,"° such that the documentation level reflects the device as a whole.
For the purpose of this guidance:
Enhanced Documentation should be provided for any premarket submission that includes device software function(s) where a failure or flaw of any device software function(s) could present a hazardous situation with a probable29 risk of death or serious injury,3° either to a patient, user of the device, or others in the environment of use. These risks should be assessed prior to implementation of risk control measures. Sponsors should consider the risks in the context of the device's intended use (e.g., impacts to safety, treatment, and/or diagnosis), and other relevant considerations.
Basic Documentation should be provided for any premarket submission that includes device software function(s) where Enhanced Documentation does not apply.
When determining the Documentation Level, sponsors should consider all known or foreseeable software hazards and hazardous situations associated with the device, including those resulting from reasonably foreseeable misuse, whether intentional or unintentional, prior to the implementation of risk control measures. This also includes the likelihood that device functionality is intentionally or unintentionally compromised by inadequate device cybersecurity.</t>
  </si>
  <si>
    <t>[[4, 522, 539, 584, 594], [5, 206, 405, 37, 51], [5, 77, 535, 82, 136], [5, 88, 525, 161, 217], [5, 68, 536, 241, 310], [5, 69, 206, 338, 354], [5, 70, 541, 378, 489], [5, 69, 533, 502, 599], [6, 206, 405, 38, 49], [6, 70, 533, 80, 147], [6, 70, 536, 161, 299], [6, 69, 538, 313, 394], [6, 70, 510, 411, 425], [6, 69, 532, 423, 478], [6, 72, 201, 502, 516], [6, 70, 537, 539, 650], [7, 206, 405, 38, 50], [7, 70, 536, 77, 107], [7, 70, 368, 104, 120], [7, 106, 525, 135, 280], [7, 70, 494, 292, 319], [7, 68, 538, 333, 421], [7, 88, 533, 430, 486], [8, 206, 405, 38, 50], [8, 70, 527, 79, 147], [8, 70, 539, 162, 288], [8, 70, 533, 285, 409], [8, 71, 154, 429, 447], [8, 69, 538, 470, 566], [8, 70, 520, 581, 633], [9, 206, 405, 38, 50], [9, 70, 540, 80, 148], [9, 71, 527, 148, 175], [9, 69, 515, 188, 232], [9, 69, 538, 245, 331], [9, 69, 535, 339, 436], [10, 206, 405, 38, 49], [10, 69, 533, 77, 121], [10, 69, 506, 134, 165], [10, 69, 538, 174, 410], [10, 70, 193, 430, 447], [10, 72, 375, 471, 485], [10, 71, 538, 499, 538], [11, 206, 405, 38, 49], [11, 69, 538, 79, 121], [11, 71, 282, 133, 147], [11, 139, 232, 146, 160], [11, 108, 119, 149, 160], [11, 140, 523, 161, 175], [11, 107, 119, 162, 175], [11, 141, 529, 175, 203], [11, 107, 118, 190, 202], [11, 142, 540, 203, 243], [11, 72, 509, 260, 283], [11, 88, 538, 301, 547], [11, 89, 533, 565, 659], [12, 206, 405, 39, 50], [12, 106, 537, 79, 135], [12, 70, 508, 148, 176], [12, 70, 274, 197, 213], [12, 69, 534, 234, 306], [12, 70, 527, 320, 359], [12, 71, 230, 374, 388], [12, 106, 533, 401, 497], [12, 106, 523, 511, 539], [12, 72, 538, 553, 622]]</t>
  </si>
  <si>
    <t>DOC010_FDA_cybersecurity_2026_part02_pages009-016.md</t>
  </si>
  <si>
    <t>930585027e9cb1d8</t>
  </si>
  <si>
    <t>26 See the Medical Device and Health IT Joint Security Plan version 2 (JSP2).</t>
  </si>
  <si>
    <t>[[17, 16, 16, 16, 16]]</t>
  </si>
  <si>
    <t>DOC011_FDA_OTS_software_medical_devices_2023.pdf</t>
  </si>
  <si>
    <t>b8927161e0dbde43</t>
  </si>
  <si>
    <t>.18
Appendix B: Examples.
ContainsNonbindingRecommendations
Off-The-Shelf Software Use in MedicalDevices
Guidance for Industry and Food and Drug Administration Staff
This guidance represents the current thinking of the Food and Drug Administration (FDA or Agency) on this topic. It does not establish any rights for any person and is not binding on FDA or the public. You can use an alternative approach if it satisfies the requirements of the applicable statutes and regulations. To discuss an alternative approach, contact the FDA staff or Office responsible for this guidance as listed on the title page.
I. Introduction
Off-the-shelf (OTS) Software is commonly being considered for incorporation into medical devices as the use of general-purpose computer hardware becomes more prevalent. The use of OTS Software in a medical device allows the manufacturer to concentrate on the application software needed to run device-specific functions. However, OTS Software intended for general- purpose computing may not be appropriate for a given specific use in a medical device. The medical device manufacturer using OTS Software generally gives up software life cycle control, but still bears the responsibility for the continued safe and effective performance of the medical device.
This guidance document is intended to provide information regarding the recommended documentation sponsors should include in a premarket submission for FDA's evaluation of off- the-shelf (OTS) software' used in a medical device.' The recommendations in this guidance are also intended to facilitate FDA's premarket review. This guidance describes information that would be typically generated and documented3 during software development, verification, and
ContainsNonbindingRecommendations
validation. The least burdensome approach was applied to identify the minimum amount of information that, based on our experience, would generally be needed to support a premarket submission for a device that uses OTS software.
The documentation recommended in this guidance is based on FDA's experience evaluating the safety and effectiveness for a device that uses OTS software. However, sponsors may use alternative approaches and provide different documentation so long as their approach and documentation satisfy premarket submission requirements in applicable statutory provisions and regulations.
On September 27, 2019, this guidance was revised through a Level 2 update in accordance with the 21st Century Cures Act, with the changes described in the guidance “Changes to Existing Medical Software Policies Resulting from Section 3060 of the 21st Century Cures Act."4 This guidance was most recently revised through a Level 2 update in addition to the documentation described in FDA's final guidance titled “Content of Premarket Submissions for Device Software Functions."s
In general, FDA's guidance documents do not establish legally enforceable responsibilities.
Instead, guidances describe the Agency's current thinking on a topic and should be viewed only as recommendations, unless specific regulatory or statutory requirements are cited. The use of the word should in Agency guidances means that something is suggested or recommended, but not required.
II.Scope
This guidance is intended to provide information regarding the recommended documentation in a premarket submission for a medical device that uses Off-the-Shelf software (OTS software), which is considered a generally available software component, used by a medical device manufacturer for which the manufacturer cannot claim complete software life cycle control (e.g..
operating system, printer/display libraries).
For the purposes of this guidance, unless otherwise stated, the term premarket submission includes, but is not limited to, premarket notification (510(k)) submission, De Novo classification request, Premarket Approval (PMA) application, Investigational Device Exemption (lDE), or Humanitarian Device Exemption (HDE).
If the device is a multiple function device product and includes software function(s) that are considered “other functions,” as that term is used in the guidance “Multiple Function Device
ContainsNonbindingRecommendations
Product: Policy and Considerations *6 the recommendations described in the aforementioned guidance should be considered when preparing the software documentation for a premarket submission.
Il. OTS Software Documentation Elements
As discussed in the guidance titled “Content of Premarket Submissions for Device Software Functions,7 the recommended documentation for a premarket submission depends on the device's risk to a patient, a user of a device, or others in the environment of use. FDA intends to take a risk-based approach to help determine the device's Documentation Level, which is either Basic* or Enhanced.9 The purpose of the Documentation Level is to help identify the minimum amount of information that would support a premarket submission that includes device software functions. The Documentation Level of a device is based on the risks of its device software function(s) in the context of the device's intended use,10 such that the documentation level reflects the device as a whole.
For the purposes of this guidance, Table 1 below provides an outline of the recommended documentation for each OTS software documentation element and corresponding Documentation Level as determined in the “Content of Premarket Submissions for Device Software Functions*11 for the device software function. Please refer to subsections A-D in this section of the guidance for more detail.
Table 1. Outline of Recommended Documentation
Software Documentation
Basic Documentation Level
Enhanced Documentation Level
Elements
An overview and description of the OTS software and actions taken for the
Description of OTS Software
continued safe and effective use of the medical device.
(Section IlI.A) Risk Assessment
Risk assessment demonstrating that risks related to the use of OTS software have been appropriately mitigated.
of OTS Software (Section IlI.B)
ContainsNonbindingRecommendations
Software
Basic Documentation Level
Enhanced Documentation Level
Documentation Elements Software Testing
Test plans and results for the OTS software, commensurate with the Documentation Level (i.e., Basic or Enhanced) for the device.
as part of Verification and Validation (Section Ill.C)
FDA is not recommending this
Information to provide an assurance that
documentation as part of the
the product development methodologies
Assurance of
used by the OTS software developer are
premarket submission. Sponsors
Development
appropriate and sufficient, and
should document this
Methodologies
mechanisms exist for assuring the
information via the DHF for the
and Continued
device. During premarket
continued performance, maintenance,
Maintenance of
review, FDA may request
and support of the OTS software.
OTS Software
additional information, if
(Section III.D)
needed, to evaluate the safety and effectiveness of the device.
A. Description of OTS Software
For both Basic and Enhanced Documentation Levels as discussed in the guidance titled “Content of Premarket Submissions for Device Software Functions,*12 an overview and description of the OTS software features and functions should be provided. Sponsors should consider and, as applicable, provide information to address the questions below when preparing the OTS software description. However, FDA recognizes that these questions and examples may not capture all the unique aspects of the device software and encourages the inclusion of additional information that will further FDA's understanding of the device's functionality to facilitate the review of a submission.</t>
  </si>
  <si>
    <t>[[3, 535, 552, 455, 467], [3, 90, 204, 475, 486], [4, 215, 412, 38, 49], [4, 136, 492, 81, 135], [4, 97, 532, 146, 201], [4, 88, 538, 238, 307], [4, 94, 211, 339, 354], [4, 75, 542, 371, 480], [4, 76, 538, 494, 564], [5, 215, 412, 39, 51], [5, 76, 524, 73, 114], [5, 77, 542, 127, 197], [5, 75, 550, 212, 282], [5, 78, 517, 293, 307], [5, 76, 552, 307, 363], [5, 94, 172, 382, 400], [5, 75, 546, 415, 472], [5, 77, 285, 472, 486], [5, 78, 547, 498, 552], [5, 77, 523, 566, 594], [6, 215, 412, 38, 49], [6, 75, 525, 70, 111], [6, 96, 427, 137, 151], [6, 76, 550, 169, 291], [6, 74, 547, 304, 373], [6, 78, 335, 387, 398], [6, 87, 168, 420, 449], [6, 189, 330, 436, 448], [6, 365, 529, 436, 448], [6, 102, 151, 450, 462], [6, 181, 540, 477, 488], [6, 89, 166, 477, 503], [6, 180, 442, 491, 503], [6, 84, 171, 511, 549], [6, 179, 545, 538, 565], [6, 83, 170, 552, 584], [7, 215, 412, 38, 49], [7, 101, 152, 77, 92], [7, 190, 330, 94, 105], [7, 365, 529, 94, 105], [7, 81, 172, 95, 146], [7, 178, 508, 133, 161], [7, 86, 170, 150, 208], [7, 180, 330, 224, 236], [7, 349, 543, 224, 236], [7, 180, 319, 237, 251], [7, 348, 543, 237, 251], [7, 94, 162, 242, 254], [7, 347, 543, 250, 264], [7, 180, 336, 252, 264], [7, 91, 163, 254, 268], [7, 348, 498, 265, 279], [7, 180, 283, 265, 277], [7, 88, 166, 267, 282], [7, 348, 512, 279, 293], [7, 180, 334, 279, 291], [7, 88, 166, 283, 295], [7, 180, 305, 293, 307], [7, 349, 529, 293, 305], [7, 85, 169, 295, 310], [7, 178, 306, 305, 319], [7, 348, 509, 307, 321], [7, 89, 166, 308, 322], [7, 179, 305, 320, 334], [7, 88, 165, 330, 344], [7, 179, 331, 333, 360], [7, 123, 372, 391, 407], [7, 75, 545, 421, 531]]</t>
  </si>
  <si>
    <t>e42bf4d77dfe6df8</t>
  </si>
  <si>
    <t>32 Details on the content for security risk management plans and reports beyond those specifically identified can be
found in AAMI TIR57 Principles for medical device security— Risk management and ANSI/AAMI SW96 Standard
for medical device security - Security risk management for device manufacturers.
https://doi.org/10.2345/9781570208621.ch1</t>
  </si>
  <si>
    <t>[[24, 23, 23, 23, 23]]</t>
  </si>
  <si>
    <t>7f901e7e7ac30ac7</t>
  </si>
  <si>
    <t>ContainsNonbindingRecommendations
It is the sponsor's responsibility to proactively and comprehensively consider risks as part of the device's risk assessment.31
While devices within the scope of this guidance should be individually assessed to determine the appropriate Documentation levels, there are certain categories of devices for which we recommend that Enhanced Documentation be provided in a premarket submission. Specifically, we recommend that Enhanced Documentation should be provided in a premarket submission for devices intended to test blood donations for transfusion-transmitted infections, devices used to determine blood donor and recipient compatibility, automated blood cell separator devices intended for collection of blood and blood components for transfusion or further manufacturing use, and blood establishment computer software (BECS).32
There are other categories of device for which we generally recommend Enhanced Documentation be provided in a premarket submission. FDA believes that given the nature of these products and their intended uses, these products may have unique risks that require further documentation to ensure that FDA is able to evaluate the safety and effectiveness of the device.
These include devices that are a constituent part of a combination product (i.e., drug/device.
biologic/device, or drug/device/biologic)3 and Class III devices. In the course of evaluating the appropriate Documentation Level for a device that is a constituent part of a combination product or a Class II device, a sponsor may determine that an Enhanced Documentation level does not apply. In such cases, the sponsor should provide an appropriately detailed rationale as to why Basic Documentation instead of Enhanced Documentation is appropriate for the premarket submission. As previously discussed, during the course of submission review, FDA may request additional information if needed to evaluate the safety and effectiveness of the device.
Sponsors may submit a Pre-Submission to obtain FDA feedback about a device's Documentation Level and recommended documentation prior to a premarket submission, as described in the guidance “Requests for Feedback and Meetings for Medical Device Submissions: The Q- Submission Program.*34 For additional information on how to engage with a particular Center with regard to a combination product, including best practices for doing so, please see the final guidance “Requesting FDA Feedback on Combination Products.*'35
For additional information and examples of devices that demonstrate the implementation of the Documentation Level risk-based approach, please refer to Appendix A of this guidance.
VI. Recommended Documentation
This section reflects FDA's recommendations for information to be included in premarket submissions for Basic and Enhanced Documentation Levels. This recommended information
ContainsNonbindingRecommendations
should demonstrate that planning, requirements, risk assessment, design reviews, traceability, change management, testing plans and results, and other aspects of good software engineering for device software functions were employed, to support a conclusion that the device software function was appropriately designed, verified, and validated.
If the device is a multiple function device product and includes software function(s) that are considered “other functions,” as that term is used in the guidance “Multiple Function Device Product: Policy and Considerations,”' the recommendations described in the aforementioned guidance should be considered when preparing the software documentation for a premarket submission.
Table 1 below provides an outline of the recommended documentation for each software documentation element and corresponding Documentation Level. Please refer to subsections A-J in this section of the guidance (Vl) for more detail.
Table 1. Outline of Recommended Documentation
Software
Basic Documentation Level
Documentation
Enhanced Documentation Level
Elements Documentation
A statement indicating the Documentation Level and a description of the
Level Evaluation
rationale for that level.
(Section VI.A) Software
Software description, including overview of significant software features,
Description
functions, analyses, inputs, outputs, and hardware platforms.
(Section VI.B) Risk
Risk management plan, risk assessment demonstrating that risks have been
Management File
appropriately mitigated, and risk management report.
(Section VI.C)
SRS documentation, describing the needs or expectations for a system or
Software
software, presented in an organized format, at the software system level or
Requirements
subsystem level, as appropriate, and with sufficient information to
Specification
understand the traceability of the information with respect to the other
(SRS)
software documentation elements (e.g., risk management file, software design specification, system and software architecture design chart,
(Section VI.D)
softwaretesting).
ContainsNonbindingRecommendations
Software
Basic Documentation Level
Documentation
Enhanced Documentation Level
Elements System and
Detailed diagrams of the modules, layers, and interfaces that comprise the
Software
device, their relationships, the data inputs/outputs and flow of data, and
Architecture
how users or external products (including information technology (IT)
Design
infrastructure and peripherals) interact with the system and software.
(Section VI.E)
SDS documentation, including sufficient
FDA is not recommending the SDS as part of the premarket
information that would allow FDA to
submission. Sponsor should
understand the technical design details
Software Design
document this information on
of how the software functions, how the
Specification
the design via the DHF for the
software design completely and
(SDS)
device. During premarket
correctly implements all the
review, FDA may request
requirements of the SRS, and how the
(Section VI.F)
additional information, if
software design traces to the SRS in
needed, to evaluate the safety
terms of intended use, functionality, safety, and effectiveness.
and effectiveness of the device.
A summary of the life cycle
BasicDocumentation Level,PLUS
development plan and a
complete configuration management and
summary of configuration
maintenance plan document(s);
management and maintenance
OR
activities;
Software
A Declaration of Conformity37 to the
Development,
OR
FDA-recognized version of IEC 62304,
Configuration
A Declaration of Conformity
Management,
including subclause 5.1 (Software
to the FDA-recognized version
development planning), clause 6
and Maintenance
of IEC 62304, including
Practices
(software maintenance process), and
subclauses 5.1.1-5.1.3, 5.1.6-
clause 8 (software configuration
(Section VI.G)
5.1.9, clause 6 (Software
management process), among others as
maintenance process), and
applicable.
clause 8 (Software configuration management process), among others as applicable.
ContainsNonbindingRecommendations
Software
Basic Documentation Level
Documentation
Enhanced Documentation Level
Elements
A summary description of the
BasicDocumentation Level,PLUS
testing activities at the unit,
unit and integration level test protocols including expected results, observed
integration and system levels;
Software Testing
results, pass/fail determination, and unit
AND
as Part of
and integration level test reports.
Verification and
System level test protocol
Validation
including expected results,
(Section VI.H)
observed results, pass/fail determination, and system level test report.
A history of tested software versions including the date, version number,
Software Version History
and a brief description of all changes relative to the previously tested software version.
(Section VI.I) Unresolved
List of remaining unresolved software anomalies with an evaluation of the
Software
impact of each unresolved software anomaly on the device's safety and
Anomalies
effectiveness.
(Section VI.J)
Documentation Level Evaluation
A.
A statement indicating the Documentation Level for the device and a description of the rationale for such Documentation Level. The rationale should account for the device's intended use, and include references, where appropriate, from the submission documentation (such as Risk Management File, Software Description, etc.) to support the indicated Documentation Level.
Software Description
B.
An overview of significant software features and functions, including images, flow charts, and state diagrams as needed to adequately explain the software functionality38 should be provided. If the premarket submission is for a modified device, provide the document number of the previous submission and highlight pertinent software changes (e.g., changes that affect safety and effectiveness) since the last FDA approval or clearance.
ContainsNonbindingRecommendations
Consider and, as applicable, provide information to address the questions below when preparing the software description. However, FDA recognizes that these questions and examples may not capture all the unique aspects of device software and encourages the inclusion of additional information that will further FDA's understanding of the device's functionality to facilitate the review of a submission.
If the device is a multiple function device product and includes software function(s) that are considered “other functions,” as that term is used in the guidance “Multiple Function Device Products: Policy and Considerations,” the recommendations described in the aforementioned guidance should be considered when preparing the software description information.
·Software Operation O What is the role of the software as it relates to the intended use of the device?
Examples: software-only device, software that controls the device hardware, software application that accompanies the device for data processing.
Who is the intended user of the software? Examples: the patient, a caregiver, a
healthcare professional, or a combination thereof
O What is the intended patient population?
■ Does the software function focus on a specific disease, condition, patient characteristic or demographic?
Does the software provide information that is directly applicable to a specific disease or condition?
0 If the software performs analysis of signals/patterns or images, what is the analysis methodology? Examples: rule-based calculations, online test administration, artificial intelligence and machine learning (AI/ML), neural networks, fixed (locked) or adaptive (iterative, continuously learning) algorithms.
0 If the device software function uses ML models trained through ML methods (i.e., is AIML-enabled, such as AI, ML, adaptive models, natural language processing (NLP), neural networks, and related approaches):
■ What methods, models, frameworks, and/or platforms were used?
■What data (populations, samples) informed the model(s)? How, when, and where was the data collected?
·  What steps were taken to identify and address potential biases and limitations of the model(s)?
· What materials, mechanisms, and/or approaches are used to provide transparency about the model's development, performance, and limitation(s)?
ContainsNonbindingRecommendations
·Software Specifics39 OWhat hardware platforms are used?
What software platforms are used?
If applicable, what hosting environments are used (e.g., hospital networks,
cloud infrastructures) and for what functions (e.g., processing, storage)?
O Does the device use OTS software?40 0 What is the final release version (i.e., version intended to be released to end
users)? If this version is different from the documentation's version, explain the differences.
Software Inputs and Outputs 0What are the inputs and their format? Examples: signals, images (specify modality), measurements (specify units), reports, questionnaires, other device
data/results.
Who or what provides the inputs? Examples: patients, caregivers, healthcare
professionals, technicians, sensors/attachments, signal acquisition systems, in vitro diagnostic devices, other medical devices, other non-medical products or
software.
0What are the outputs and their format? Examples: diagnostic information,
treatment information, control signals for device hardware, images (specify
modality), measurements (specify units), alarms, alerts, or reports.
0 Who or what receives the outputs? Examples: patients, caregivers, healthcare
professionals, technicians, health records, device hardware, other medical
devices, interoperable systems.
0Does the software impact or replace any action(s) otherwise performed manually by a health care professional, patient, caregiver, or other operator? What are the clinical workflow steps and assumptions (from beginning to end state)?
Examples: automates steps, triages patients, provides a definite diagnosis or suggests likely diagnosisforfurther confirmationby physician,performs or recommends specific treatment, identifies a region of interest for further review
ContainsNonbindingRecommendations
0 Is the device designed to be interoperable?41 In other words, does the device transmit, exchange, and/or use information through an electronic interface (e.g., network, wireless) with another medical/non-medical product, system, or device?
If yes, what other products does the device interface with, and what methods, standards, and specifications are used to interact and/or communicate with other medical/non-medical product, system, or device? Are the medical/non-medical products, systems, or devices networked?
If any of the information requested above is included in another document, such as the Software Requirements Specification (SRS), an annotation and a reference to the document in the submission where this information is located should be provided.
C. Risk Management File
The risk management file should be provided as part of the premarket submission and include the following documentation. FDA recommends sponsors refer to an FDA-recognized version of ISO 14971 for additional information on the development and application of a risk management file.</t>
  </si>
  <si>
    <t>[[13, 206, 405, 38, 50], [13, 69, 533, 79, 106], [13, 69, 537, 120, 232], [13, 69, 533, 245, 300], [13, 72, 511, 300, 312], [13, 69, 535, 313, 409], [13, 69, 540, 424, 510], [13, 70, 529, 520, 547], [13, 71, 344, 570, 584], [13, 71, 517, 595, 620], [14, 206, 406, 38, 49], [14, 70, 524, 77, 134], [14, 69, 516, 147, 214], [14, 71, 538, 230, 272], [14, 72, 328, 287, 297], [14, 96, 146, 318, 333], [14, 182, 326, 334, 348], [14, 81, 162, 335, 347], [14, 360, 523, 335, 347], [14, 81, 162, 349, 388], [14, 175, 523, 377, 388], [14, 78, 167, 391, 402], [14, 174, 284, 391, 402], [14, 85, 161, 409, 448], [14, 175, 528, 438, 449], [14, 90, 153, 449, 464], [14, 173, 466, 450, 464], [14, 84, 158, 472, 510], [14, 174, 535, 498, 512], [14, 75, 169, 512, 526], [14, 174, 430, 514, 525], [14, 84, 158, 533, 544], [14, 175, 527, 560, 574], [14, 96, 146, 568, 582], [14, 174, 534, 574, 588], [14, 83, 159, 582, 597], [14, 175, 494, 587, 601], [14, 87, 156, 598, 612], [14, 174, 513, 601, 615], [14, 106, 137, 612, 624], [14, 173, 516, 613, 643], [14, 84, 158, 632, 644], [14, 175, 257, 642, 654], [15, 206, 406, 38, 49], [15, 96, 147, 84, 98], [15, 183, 326, 99, 113], [15, 81, 162, 100, 112], [15, 360, 523, 100, 112], [15, 91, 152, 112, 153], [15, 174, 531, 139, 154], [15, 96, 147, 153, 167], [15, 173, 519, 153, 168], [15, 88, 156, 168, 182], [15, 172, 514, 168, 182], [15, 102, 141, 180, 195], [15, 175, 505, 184, 195], [15, 84, 159, 202, 216], [15, 342, 541, 228, 242], [15, 173, 321, 231, 257], [15, 343, 524, 245, 256], [15, 174, 311, 257, 271], [15, 343, 530, 257, 271], [15, 78, 164, 266, 280], [15, 174, 319, 269, 283], [15, 343, 532, 272, 283], [15, 87, 156, 282, 296], [15, 174, 322, 283, 297], [15, 344, 496, 286, 297], [15, 106, 137, 297, 309], [15, 173, 299, 297, 312], [15, 345, 479, 300, 312], [15, 173, 300, 311, 325], [15, 343, 528, 312, 326], [15, 85, 158, 316, 328], [15, 174, 299, 326, 340], [15, 343, 519, 326, 340], [15, 174, 317, 339, 354], [15, 343, 518, 339, 368], [15, 175, 325, 354, 366], [15, 174, 310, 375, 389], [15, 344, 520, 382, 394], [15, 173, 292, 387, 403], [15, 343, 542, 396, 410], [15, 174, 301, 403, 417], [15, 342, 495, 409, 423], [15, 174, 322, 417, 431], [15, 343, 363, 429, 442], [15, 174, 223, 430, 444], [15, 97, 145, 434, 448], [15, 344, 523, 448, 462], [15, 84, 157, 450, 464], [15, 175, 195, 450, 463], [15, 343, 533, 462, 477], [15, 84, 159, 464, 478], [15, 176, 315, 471, 482], [15, 85, 158, 476, 491], [15, 343, 507, 477, 489], [15, 173, 326, 484, 498], [15, 343, 501, 491, 505], [15, 75, 167, 491, 505], [15, 173, 294, 496, 510], [15, 96, 146, 504, 518], [15, 343, 520, 504, 518], [15, 175, 314, 512, 524], [15, 344, 500, 519, 530], [15, 83, 160, 525, 539], [15, 175, 295, 525, 539], [15, 343, 533, 532, 546], [15, 173, 303, 539, 553], [15, 343, 395, 547, 559], [15, 173, 333, 553, 594], [16, 206, 405, 38, 49], [16, 96, 147, 84, 98], [16, 183, 326, 99, 113], [16, 81, 162, 100, 112], [16, 360, 523, 100, 112], [16, 96, 147, 113, 127], [16, 175, 319, 140, 154], [16, 344, 520, 142, 153], [16, 173, 308, 153, 170], [16, 342, 532, 155, 183], [16, 173, 318, 169, 183], [16, 77, 167, 172, 186], [16, 343, 538, 181, 198], [16, 174, 203, 187, 202], [16, 96, 148, 189, 201], [16, 343, 501, 196, 210], [16, 78, 165, 201, 214], [16, 174, 301, 207, 223], [16, 94, 149, 214, 228], [16, 173, 303, 222, 236], [16, 82, 160, 236, 250], [16, 173, 328, 236, 277], [16, 173, 524, 289, 303], [16, 75, 168, 290, 317], [16, 172, 508, 302, 331], [16, 86, 157, 326, 365], [16, 175, 532, 352, 366], [16, 96, 147, 365, 379], [16, 172, 518, 366, 380], [16, 93, 150, 379, 393], [16, 175, 240, 381, 392], [16, 85, 158, 399, 413], [16, 142, 368, 441, 455], [16, 109, 125, 444, 454], [16, 69, 534, 484, 538], [16, 142, 288, 559, 576], [16, 108, 123, 561, 572], [16, 70, 542, 600, 670], [17, 206, 405, 38, 50], [17, 69, 534, 91, 161], [17, 70, 517, 175, 231], [17, 89, 516, 246, 273], [17, 143, 511, 274, 301], [17, 142, 524, 313, 327], [17, 145, 384, 330, 341], [17, 125, 338, 356, 370], [17, 158, 530, 368, 396], [17, 177, 511, 397, 425], [17, 125, 536, 439, 495], [17, 123, 538, 507, 549], [17, 159, 497, 548, 562], [17, 158, 539, 561, 590], [17, 160, 498, 590, 617], [17, 160, 506, 618, 657], [18, 206, 405, 38, 50], [18, 88, 314, 80, 108], [18, 143, 311, 122, 133], [18, 177, 537, 135, 149], [18, 179, 525, 148, 162], [18, 122, 509, 175, 217], [18, 144, 526, 219, 243], [18, 110, 518, 261, 302], [18, 144, 203, 302, 314], [18, 142, 515, 328, 342], [18, 142, 522, 343, 370], [18, 143, 187, 372, 383], [18, 123, 498, 397, 411], [18, 142, 508, 411, 425], [18, 143, 465, 426, 440], [18, 124, 519, 453, 467], [18, 142, 504, 467, 481], [18, 144, 292, 482, 494], [18, 125, 531, 510, 551], [18, 144, 526, 551, 590], [19, 206, 405, 39, 50], [19, 124, 534, 79, 119], [19, 142, 528, 120, 176], [19, 71, 533, 189, 230], [19, 108, 298, 254, 268], [19, 70, 538, 293, 347]]</t>
  </si>
  <si>
    <t>9385aeaf2128b907</t>
  </si>
  <si>
    <t>ContainsNonbindingRecommendations
Off-The-Shelf Software Use in Medical Devices
Guidance for Industry and Food and Drug Administration Staff
Document issued on August 11, 2023.
Document originally issued on September 9, 1999.
This document supersedes Off-The-Shelf Software Use in Medical Devices issued September 27, 2019.
For questions about this document, contact the Digital Health Center of Excellence by e-mail at digitalhealth@fda.hhs.gov.
U.S. Department of Health and Human Services Food and Drug Administration Center for Devices and Radiological Health
ContainsNonbindingRecommendations
Preface
Public Comment
You may submit electronic comments and suggestions at any time for Agency consideration to https://www.regulations.gov. Submit written comments to the Dockets Management Staff, Food and Drug Administration, 5630 Fishers Lane, Room 1061, (HFA-305), Rockville, MD 20852.
Identify all comments with the docket number FDA-2019-D-3598. Comments may not be acted upon by the Agency until the document is next revised or updated.
Additional Copies
Additional copies are available from the Internet. You may also send an e-mail request to CDRH-Guidance@fda.hhs.gov to receive a copy of the guidance. Please use the document number GUI00000585 and complete title of the guidance in the request.
Contains Nonbinding Recommendations
Table of Contents
I.  Introduction .
II. Scope..
IlI. OTS Software Documentation Elements
A. Description of OTS Software B. Risk Assessment of OTS Software ...
C. Software Testing as Part of Verification and Validation....</t>
  </si>
  <si>
    <t>[[1, 214, 412, 38, 49], [1, 131, 488, 81, 135], [1, 97, 534, 156, 212], [1, 201, 426, 246, 262], [1, 165, 463, 292, 308], [1, 93, 537, 338, 368], [1, 88, 536, 396, 424], [1, 295, 541, 671, 711], [2, 214, 413, 37, 51], [2, 263, 342, 74, 94], [2, 78, 208, 97, 114], [2, 77, 539, 123, 165], [2, 76, 536, 167, 194], [2, 77, 215, 209, 226], [2, 76, 515, 240, 283], [3, 214, 413, 36, 50], [3, 246, 383, 79, 95], [3, 88, 170, 134, 148], [3, 88, 143, 153, 165], [3, 89, 297, 173, 184], [3, 101, 291, 192, 222], [3, 102, 389, 230, 241]]</t>
  </si>
  <si>
    <t>DOC013_GBT_42062_2022_structured_transcription.md</t>
  </si>
  <si>
    <t>8ba5d9534baaa23c</t>
  </si>
  <si>
    <t xml:space="preserve">1. GB 9706.1 医用电气设备 第1部分：基本安全和基本性能的通用要求
2. GB/T 16886.1 医疗器械生物学评价 第1部分：风险管理过程中的评价与试验
3. GB/T 19000-2016 质量管理体系 基础和术语
4. GB/T 20002.4-2015 标准中特定内容的起草 第4部分：标准中涉及安全的内容
5. GB/T 24353 风险管理 原则与实施指南
6. GB/T 29791.1-2013 体外诊断医疗器械 制造商提供的信息（标示） 第1部分：术语、定义和通用要求
7. GB/T 42061-2022 医疗器械 质量管理体系 用于法规的要求
8. YY/T 0297 医疗器械临床调查
9. YY/T 0316-2016 医疗器械 风险管理对医疗器械的应用
10. YY/T 1437 医疗器械 GB/T 42062应用指南（扫描件脚注：待发布）
11. ISO/IEC Guide 63:2019, Guide to the development and inclusion of aspects of safety in international standards for medical devices
12. ISO 20916, In vitro diagnostic medical devices - Clinical performance studies using specimens from human subjects - Good study practice
13. IEC/TR 60513, Fundamental aspects of safety standards for medical electrical equipment
14. IEC 62366-1:2015, Medical devices - Part 1: Application of usability engineering to medical devices
15. GHTF/SG1/N055:2009, Definition Terms “Manufacturer”, “Authorized Representative”, “Distributor” and “Importer”
16. GHTF/SG1/N071:2012, Definition of terms “Medical Device” and “In Vitro Diagnostic (IVD) Medical Device”
</t>
  </si>
  <si>
    <t>[[65, 64, 64, 64, 64]]</t>
  </si>
  <si>
    <t>DOC010_FDA_cybersecurity_2026_part06_pages041-048.md</t>
  </si>
  <si>
    <t>38e6f1b1dcec7ca3</t>
  </si>
  <si>
    <t>74 For more information about current review practices for 510(k) submission, see FDA’s guidance “The 510(k)
Program: Evaluating Substantial Equivalence in Premarket Notifications [510(k)].”
## Source page 42
Appendix 1. Security Control Categories and Associated
Recommendations
The following sections provide detailed descriptions of each of the security control categories
introduced in Section V.B.1, as well as specific recommendations for security controls and their
implementation, to avoid common pitfalls.
Authentication
There are generally two types of authentication controls— information and entities— and a
properly-secured system is able to prove the existence of both.
Authentication of information75 exists where the device and the system in which it operates are
able to prove that information originated at a known and trusted source, and that the information
has not been altered in transit between the original source and the point at which authenticity is
verified. It is important to note that while authenticity implies that data is accurate and has been
safeguarded from unauthorized user modification (i.e., integrity), integrity alone does not
provide assurance that the data is real and came from a trusted source. Therefore, for the
purposes of this guidance, authentication is discussed as a larger security objective over integrity.
Authentication of entities exists where a device and the system in which it operates is able to
prove the identity of an endpoint (whether hardware and/or software) from which it is sending
and/or receiving information, or authorized user/operator at that endpoint.
As part of normal operations within a secure system, devices should verify the authenticity of
information from external entities, as well as prove the authenticity of information that they
generate. A medical device system that appropriately accounts for authenticity can evaluate and
ensure authenticity for:
· Information at rest (stored);
· Information in transit (transmitted);
· Entity authentication of communication endpoints, whether those endpoints consist of
software or hardware;
· Software binaries;
· Integrity of the execution state of currently running software; and
· Any other appropriate parts of the medical device system where a manufacturer’s threat
model and/or risk analyses reveal the need for it.
On a technical level, the strength of a device’s authentication scheme is defined by the amount of
effort, including time, that an unauthorized party would need to expend to identify the
decomposition of the authentication scheme. For example, this could be the time and resources
necessary to determine the correct “output” of a cryptographic function from which a
cryptographically-based authentication scheme is built and which an unauthorized party could
use to bypass the authentication scheme and gain access to the medical device system.</t>
  </si>
  <si>
    <t>[[2, 1, 1, 1, 1]]</t>
  </si>
  <si>
    <t>7c18b999600d4ac1</t>
  </si>
  <si>
    <t>ContainsNonbindingRecommendations
should provide a high-level diagram that communicates the overview and points to the other diagrams that provide additional detail. The relationship between diagrams should also be clearly communicated. In general, the sponsor should take note of the following visual, language, and reference considerations when developing an effective system and software architecture diagram:
·Visual Considerations The diagram and the means for communicating information in the diagram should O be visually consistent (e.g., a solid arrow should convey a specific meaning as compared to a dashed arrow; icons should be used consistently; lines that intersect should clearly communicate whether the intersection is a crossing or connection) and the meaning ascribed should be clearly communicated (e.g., through the use of standard symbols and notation).
0 The level of detail provided in the diagram should be consistent throughout unless areas of less detail are clearly explained (e.g., in the case of functions, within the system or software, that are not under review).
OModules should be grouped in a logical and obvious manner.
Use of color or other visual means (e.g., dashed boxes within solid boxes) should
be used to convey layering within the system, software, or module.
0 Visual clutter should be avoided, and the diagram should be scaled according to the complexity and amount of information presented.
·Language Considerations 0 Annotations should be used to provide additional information about a particular module or data element (e.g., a plain language explanation of the module purpose or a pointer to a document or requirement within the premarket submission).
0 Use of terminology and naming conventions should be consistent within the diagram and the remainder of the premarket submission materials.
0 Use of acronyms, jargon, or terms that are not defined in the diagram itself should be avoided.
·Reference Considerations
O The diagram should reference other documents in the submission (e.g., Software
Description, Software Requirements Specification), as appropriate.
0 For submissions related to modification(s) to a previously cleared or approved
device, the diagram should identify and reference the modules that are affected by the modification(s).
The above considerations are intended to serve as a guide and may not apply in every case or may apply differently for different diagrams. When developing the system and software
ContainsNonbindingRecommendations
architecture diagram, sponsors are encouraged to leverage industry best practices within and outside the medical device industry. OTS modeling languages or platforms may be used to develop the system and software architecture diagram. Any modeling language- or platform- specific terminology should be defined or supported by reference to a publicly-available consensus standard or specification. The resulting architecture diagram should be provided in a form that aligns with eCopy guidelines recommended in the guidance “eCopy Program for 953 Medical DeviceSubmissions.
For multiple function device products, the system and software architecture diagram should clearly delineate between the device functions-under-review and the “other functions,” as that term is used in the guidance “Multiple Function Device Products: Policy and Considerations." The system and software architecture diagram should include adequate detail to understand how or if the “other function(s)" interact with or impact the device function-under-review.
Example system and software architecture diagrams are provided in Appendix B of this guidance, illustrating approaches to effectively convey the recommended information to facilitate an efficient premarket review. These simplified examples demonstrate how the considerations described in this section can be implemented into a system and software architecture diagram. The modules in the example are intended for illustration purposes only and are not intended to document or represent a comprehensive or complete system and software architecture diagram for a specific medical device or system. The illustrated approach does not prescribe any specific modeling languages or platforms to allow for flexibility in development and documentation. The approaches illustrated can be applied to any system and software architecture diagram.
Software Design Specification (SDS)
F。
The Software Design Specification (SDS) may contain both a high level summary of the design and detailed design information. In terms of the relationship between the Software Requirement Specification (SRS) and the SDS, the SRS describes what the software function will do and the SDS describes how the requirements in the SRS are implemented. The information presented in the SDS should be sufficient to ensure that the work performed by the software engineers who created the device software function was clear and unambiguous, with minimal ad hoc design decisions. The use of minimal ad hoc design decisions reflects the general principle that the creation of SDS should occur as a prospective activity rather than documented retrospectively after the software design has been implemented by ad hoc design methods. Documentation of specifications included in the premarket submission for the device function-under-review should include adequate detail to describe any expected relationship, utility, reliance, or interoperability with any “other function,”' as that term is used in the guidance “Multiple Function Device Products: Policy and Considerations.
ContainsNonbindingRecommendations
(l)Basic Documentation Level
FDA is not recommending the SDS as part of the premarket submission. Sponsors should document this information on the design internally via the DHF for the device. During premarket review, FDA may request additional information on the design, if needed, to evaluate the safety and effectiveness of the device.
(2)EnhancedDocumentationLevel
A singular SDS document or set of SDS documents that provide the technical design details of how the software functions, how the software design completely and correctly implements all the requirements of the SRS and how the software design traces to the SRS in terms of intended use, functionality, safety, and effectiveness. The software functional units or modules along with the interfaces among them identified in the architectural (i.e., high-level) design should be documented with the corresponding detailed (i.e., low-level) design information in the SDS. The information provided for review should be sufficient to ensure that the work performed in developing the software functional units or modules and their interfaces was clear and unambiguous, with minimal ad hoc design decisions. For example, the creation of the SDS is expected to have occurred as a prospective activity where the SDS was used to guide the design, development and testing of the software rather than documented retrospectively after the software design has been implemented by ad hoc design methods.
For additional details on what should be included in the software design specification, refer to the guidance, “General Principles of Software Validation."
G.  Software Development, Configuration Management, and Maintenance Practices
One way a sponsor could address this documentation element of a premarket submission is to provide the recommended information on related software development, configuration management, and maintenance practices and procedures. In another approach, a sponsor could provide a Declaration of Conformity to specific clauses of the FDA-recognized version of ANSI/AAMI/IEC 62304 Medical Device Software - Software Life Cycle Processes or the FDA- recognized version of IEC 62304 Medical device software - Software life cycle processes (hereafter referred to collectively as ANSI/AAMI/IEC 62304). A sponsor could also provide a Declaration of Conformity to the complete ANSI/AAMI/IEC 62304 standard. However, a Declaration of Conformity to the complete ANSI/AAMI/IEC 62304 standard is not needed due to known differences in categorization of device software functions and other recommended documentation.
ContainsNonbindingRecommendations
(l)Basic Documentation Level
A summary of the processes and procedures that are in place to manage the software life cycle development, software configuration and change management, and software maintenance activities should be provided. This summary information should include an adequate description Of:
· Processes and procedures used in software development, verification, and validation.
· Software coding standards, methods, and tools used in software development.
● Main deliverables of the typical activities and tasks involved in software development, verification, and validation.
· Processes, procedures, and tools used to link user needs, system requirements, software requirements, software design specifications, software testing and implemented risk control measures (i.e., traceability).
· Processes and procedures used in software configuration and change management.
· Processes and procedures used in software maintenance that includes risk assessment of software changes, initial testing that evaluates the correctness of the implemented software change(s), and regression analysis and testing.
Alternatively, to address the recommendations for this documentation element, a sponsor may provide a Declaration of Conformity to the FDA-recognized version of ANSI/AAMI/IEC 62304 Medical Device Software - Software Life Cycle Processes, including subclauses 5.1.1 (*Software development plan"), 5.1.2 (*Keep software development plan updated"), 5.1.3 ("Software development plan reference to system design and development"), 5.1.6 (*"Software verification planning"), 5.1.7 (*"Software risk management planning"), 5.1.8 ("Documentation planning"), 5.1.9 ("Software configuration management planning"), clause 6 (*Software maintenance process"), and clause 8 ("Software configuration management process"),34 among others as applicable.
(2) Enhanced Documentation Level
Documents implementing the configuration management and maintenance plans should be provided in addition to the summary documentation requested for the Basic Documentation Level, as described above.
Alternatively, to address the recommendations for this documentation element, a sponsor may provide a Declaration of Conformity to the FDA-recognized version of ANSI/AAMI/IEC 62304
ContainsNonbindingRecommendations
Medical Device Software - Software Life Cycle Processes, including subclause 5.1 (Software development planning), clause 6 (*"Software maintenance process"), and clause 8 (*"Software configuration management process"),$5 among others as applicable.
H. Software Testing as part of Verification and Validation
Refer to Section IV (Definitions) for important information pertaining to FDA's thinking on verification and validation, as it relates to this guidance. Additionally, please refer to guidance "General Principles of Software Validation” for additional details regarding FDA's thinking regarding software testing, particularly unit level (module or component) testing, integration level (internal and external interfaces) testing, and system level (functional) testing.
The recommendations in this guidance do not address other forms of testing, such as non-clinical bench, animal, or clinical testing. For more information regarding other forms of device performance testing, sponsors should refer to relevant special controls,*° FDA-recognized voluntary consensus standards,7 and device-specific guidances. If the premarket submission leverages information from other device performance testing section(s) to address software verification and validation, the sponsor is encouraged to appropriately reference the other performance testing material to facilitate the navigation between submission sections, reduce instances of duplication, and improve readability.
(1) Basic Documentation Level
The following software testing documentation should be provided:
A summary description of the testing activities at the unit, integration, and system levels.
The summary description should include the software version tested and the overall pass/fail test results for all test protocols (i.e., collection of test procedures for specific software functionality) executed. If the device is a modified version of a previously cleared or approved device, provide a summary of the modifications compared with the previous cleared or approved version along with a summary description of the additional testing activities performed at the unit, integration, and system levels as compared with the previously cleared or approved version.
Any intentional changes made in response to failed tests and documentation of test results demonstrating that the intentional changes were implemented correctly.
A regression analysis and regression testing with pass/fail test results (where applicable) to account for unintended effects of a software change.
ContainsNonbindingRecommendations
0 Regression analysis is a documented evaluation of the impact of a software change based on review of the relevant documentation (e.g., software requirements specification, software design specification, source code, test plans, test cases, test scripts, etc.) to determine whether regression testing is needed. If regression testing is needed as determined by the regression analysis, the sponsor should identify the necessary regression tests to be run. Regression testing is the rerunning of test cases that a program has previously executed correctly and comparing the current result to the previous result in order to detect unintended effects of a software change.
· System level test protocol including expected results derived from software requirements, actual results that are observed and recorded, objective pass/fail determination (i.e., actual results are acceptably equivalent to expected results) and a system level test report.
The system level test report should demonstrate that the protocol has been acceptably executed with passing test results and any unresolved anomalies have been acceptably deferred based on a risk assessment for the candidate release version.
(2) Enhanced Documentation Level
In addition to the documentation requested for the Basic Documentation Level, all unit and integration level test protocols and reports should be provided, including expected results derived from software requirements and design, actual results that are observed and recorded, and objective pass/fail determination (i.e., actual results are acceptably equivalent to expected results). The unit and integration level test reports should demonstrate that the protocols have been acceptably executed with passing testing results and any unresolved anomalies have been acceptably deferred based on a risk assessment for the candidate release version.
I.Software Version History
The documentation should include the history of software versions that were tested and documented at the unit, integration, and system levels as part of verification and validation activities, beginning with the version that became subject to the design controls, as described in 21 CFR 820.30. This typically takes the form of a line-item tabulation including the date, version number that was tested (including, if applicable, bench, animal, and clinical testing) and a brief description of all changes in the version relative to the previously tested version.
The last entry in a line-item tabulation should be the final version to be incorporated in the released device. This entry should also include any differences between the tested version of software and the released version, along with an assessment of the potential effect of the differences on the safety and effectiveness of the device.
If the software version history includes a version(s) that corresponds to a previously released cleared or approved version of the software, the sponsor should highlight in the version history document each prior released cleared or approved version and the premarket submission number(s) associated with that release.
ContainsNonbindingRecommendations
If the device is a multiple function device product and includes software function(s) that are considered “other functions,”’ as that term is used in the guidance “Multiple Function Device Products: Policy and Considerations,” the recommendations described in the aforementioned guidance should be considered when preparing the software version history.
J.  Unresolved Software Anomalies
An anomaly is any condition that deviates from the expected behavior based on user needs, requirements, specifications, design documents, or standards. Anomalies may be found during the review, test, analysis, compilation, or use of the software (whether before or after release, or whether inside a sponsor's organization or outside it) or at other times. An unresolved software anomaly is a defect that still resides in the software because a sponsor deemed it appropriate not to correct or fix the anomaly, according to a risk-based rationale about its impact to the device's safety and effectiveness.
A list of unresolved anomalies should document the following items (e.g., in tabular format) for each unresolved anomaly present in the software:
·A description of the anomaly;
· Identification of how the anomaly was discovered and, where possible, identification of the root cause(s) of the anomaly;
· Evaluation of the impact of the anomaly on the device's safety and effectiveness, including operator usage and human factors considerations;
· Outcome of the evaluation; and
· Risk-based rationale for not correcting or fixing the anomaly in alignment with the sponsor's risk management plan or procedure(s).
Additionally, the Agency recommends considering the utilization of a defect classification system, or taxonomy, for each anomaly, such as ANSI/AAMI SW91's Classification of defects in health software.8 Regardless of the defect classification system used, the sponsor should evaluate the impact of an unresolved anomaly on the device's safety and effectiveness based on the software's intended use.
Where appropriate, a sponsor should communicate to end users any mitigations or possible work-arounds for unresolved anomalies to assist in the proper operation of the device to fulfill its intended use. FDA recommends that any planned or already distributed communication
ContainsNonbindingRecommendations
(customer notification, labeling, etc.) to end users regarding unresolved anomalies is referenced in the premarket submission.
VII. Additional Information - Regulatory Considerations for Software Functions
Section 3060(a) of the Cures Act amended section 520 of the FD&amp;C Act on December 13, 2016, removing certain software functions from the definition of device in section 201(h) of the FD&amp;C Act. Sponsors should consider the following reference materials to learn more about FDA's regulatory considerations for software functions:
Changes to Existing Medical Software Policies Resulting from Section 3060 of the 21st Century Cures Acts9 General Wellness: Policy for Low Risk Devices60 Policy for Device Software Functions and Mobile Medical Applications61 Medical Device Data Systems, Medical Image Storage Devices, and Medical Image Communications Devices62 How to Determine if Your Product is a Medical Device63 Clinical Decision Support Software64
Appendix A: Documentation Level Examples
The following list of example devices is intended to demonstrate the implementation of the Documentation Level risk-based approach. Please note that these generalized examples do not necessarily account for every possible detail, risk, or consideration a sponsor should evaluate, and should not be taken to mean that the devices described do or do not require a certain Documentation Level. These examples do not define the appropriate Documentation Level for a particular device type. As such, the Documentation Level should be uniquely considered for each particular device or device modification and in consideration of the device's intended use. The rationales in the examples below are abbreviated and FDA encourages sponsors to provide a detailed assessment that accounts for the specifics of their device (such as the device's risk assessment,65 software description, etc.) when addressing the recommendations in Sections V and VI.A of this guidance.
ContainsNonbindingRecommendations</t>
  </si>
  <si>
    <t>[[25, 206, 405, 39, 50], [25, 71, 538, 79, 133], [25, 89, 541, 149, 245], [25, 125, 538, 260, 302], [25, 126, 436, 316, 328], [25, 139, 534, 342, 356], [25, 144, 465, 358, 369], [25, 125, 527, 383, 411], [25, 89, 536, 426, 481], [25, 123, 511, 493, 522], [25, 124, 538, 537, 562], [25, 89, 232, 580, 591], [25, 125, 529, 593, 604], [25, 142, 465, 606, 620], [25, 125, 521, 634, 648], [25, 142, 536, 649, 674], [25, 70, 519, 688, 716], [26, 206, 406, 38, 49], [26, 69, 528, 79, 175], [26, 69, 534, 188, 257], [26, 70, 538, 272, 409], [26, 138, 389, 432, 446], [26, 108, 145, 433, 445], [26, 69, 536, 474, 651], [27, 206, 405, 38, 50], [27, 144, 334, 81, 93], [27, 70, 538, 117, 171], [27, 144, 362, 187, 198], [27, 69, 539, 218, 385], [27, 70, 523, 399, 426], [27, 106, 532, 447, 480], [27, 69, 531, 508, 657], [28, 206, 405, 38, 50], [28, 144, 334, 81, 93], [28, 70, 533, 114, 170], [28, 88, 515, 185, 199], [28, 89, 480, 215, 227], [28, 87, 524, 240, 269], [28, 88, 528, 284, 325], [28, 89, 503, 342, 354], [28, 88, 532, 368, 411], [28, 69, 538, 423, 548], [28, 143, 363, 569, 583], [28, 71, 511, 606, 646], [28, 69, 535, 660, 689], [29, 206, 405, 38, 50], [29, 71, 519, 80, 120], [29, 108, 514, 142, 156], [29, 69, 524, 177, 247], [29, 70, 538, 260, 372], [29, 142, 335, 387, 401], [29, 73, 391, 422, 434], [29, 102, 534, 449, 463], [29, 106, 533, 463, 560], [29, 108, 540, 575, 603], [29, 91, 532, 618, 644], [30, 206, 405, 38, 50], [30, 124, 533, 79, 202], [30, 88, 539, 218, 260], [30, 107, 520, 259, 300], [30, 143, 363, 316, 330], [30, 69, 542, 349, 444], [30, 104, 317, 457, 474], [30, 70, 538, 495, 577], [30, 70, 517, 594, 647], [30, 70, 527, 661, 716], [31, 206, 405, 38, 50], [31, 70, 518, 94, 148], [31, 106, 362, 163, 177], [31, 70, 533, 187, 283], [31, 71, 532, 296, 325], [31, 88, 252, 339, 353], [31, 89, 529, 368, 395], [31, 88, 497, 409, 438], [31, 88, 260, 451, 465], [31, 88, 505, 481, 510], [31, 70, 530, 522, 590], [31, 71, 540, 604, 645], [32, 205, 406, 36, 50], [32, 70, 532, 79, 106], [32, 71, 537, 127, 163], [32, 70, 537, 173, 229], [32, 105, 529, 243, 359], [32, 72, 417, 381, 397], [32, 69, 540, 403, 555], [33, 206, 405, 38, 50]]</t>
  </si>
  <si>
    <t>50737e0ad8c0b649</t>
  </si>
  <si>
    <t>15. An implantable cardiac pacemaker used to treat bradycardia
Description: The device is an implanted, programmable dual-chamber pulse generator intended to provide rate-adaptive bradycardia therapy as well as other therapeutic and diagnostic functionality. It senses the heart's electrical activity and generates electrical impulses to cause the heart to contract or beat according to the programmed patient's needs. It communicates with a programmer and the patient's home monitoring device.
Rationale: A failure or latent flaw of the device software function(s), such as failure to pace or a latent flaw leading to incorrect sensing of an ectopic beat, would lead to a hazardous situation that would present a probable risk of death or serious injury to the patient prior to the implementation of risk control measures.
Outcome: Enhanced Documentation Level</t>
  </si>
  <si>
    <t>[[38, 91, 396, 94, 105], [38, 142, 530, 120, 203], [38, 143, 534, 217, 271], [38, 143, 351, 286, 297]]</t>
  </si>
  <si>
    <t>b62b2c878b1b66ea</t>
  </si>
  <si>
    <t>20. An infusion pump intended for use in a health care facility to pump fluids and medications into a patient.
Description: The device is intended for use on adults, pediatrics, and neonates for the intermittent or continuous delivery of fluids, medications, blood, and blood
ContainsNonbindingRecommendations
products through clinically accepted routes of administration (intravenous, intra- arterial, subcutaneous, epidural, and enteral). It is intended for use by trained health care professionals in healthcare facilities.
Rationale: A failure or latent flaw of the device software function(s), such as providing the incorrect flow rate or failing to deliver fluids/medications, would present a hazardous situation with a probable risk of death or serious injury to either a patient, user of the device, or others in the environment of use, prior to the implementation of risk control measures.
Outcome: Enhanced Documentation Level</t>
  </si>
  <si>
    <t>[[39, 89, 481, 645, 672], [39, 142, 539, 685, 714], [40, 206, 405, 39, 50], [40, 143, 529, 79, 119], [40, 142, 538, 135, 203], [40, 144, 352, 218, 230]]</t>
  </si>
  <si>
    <t>9373c9628b922e19</t>
  </si>
  <si>
    <t>75 For the purposes of this control, “information” includes the software/firmware itself, as well as input and output
data.
## Source page 43
When choosing an authentication scheme, manufacturers should keep in mind the following
generally applicable characteristics of different types of schemes:
· Implicit authentication schemes, based solely on non-cryptographic interfaces,
handshakes, and/or protocols, are inherently weak because, once they are reverse-
engineered, an unauthorized user can easily emulate the correct behavior and appear to be
authorized.
· Cryptographic authentication protocols are generally superior, but they need careful
design choices and implementation practices to achieve their full strength.
In addition, these schemes are still limited by the confidentiality of the cryptographic keys
needed to interact with the scheme, and by the integrity of the devices that hold or otherwise
leverage those keys. For more information on cryptography, see Appendix 1 subsection C.,
below. Therefore, for device operations where non-authenticated behavior could lead to harm,
devices should implement additional, non-routine signals of intent based on physical actions,
such as a momentary switch, to authorize the command/session.
The following list provides additional recommendations for the implementation of authentication
schemes:
· Use cryptographically strong76 authentication, where the authentication functionality
resides on the device, to authenticate personnel, messages, commands updates, and as
applicable, all other communication pathways. Hardware-based security solutions should
be considered and employed when possible;
· Authenticate external connections at a frequency commensurate with the associated risks.
For example, if a device connects to an offsite server, then the device and the server
should mutually authenticate each session and limit the duration of the session, even if
the connection is initiated over one or more existing trusted channels;
· Use appropriate user authentication (e.g., multi-factor authentication to permit privileged
device access to system administrators, service technicians, or maintenance personnel,
among others, as needed);
· Require authentication, and authorization in certain instances, before permitting software
or firmware updates, including those updates affecting the operating system, applications,
and anti-malware functionality;
· Strengthen password protections. Do not use passwords that are hardcoded, default,
easily guessed, or easily compromised (e.g., passwords that are the same for each device;
unchangeable; can persist as default; difficult to change; and/or vulnerable to public
disclosure);
· Implement anti-replay measures in critical communications such as potentially harmful
commands. This can be accomplished with the use of several methods including the use
of cryptographic nonces (an arbitrary number used only once in a cryptographic
communication);</t>
  </si>
  <si>
    <t>[[3, 2, 2, 2, 2]]</t>
  </si>
  <si>
    <t>DOC010_FDA_cybersecurity_2026_part08_pages057-064.md</t>
  </si>
  <si>
    <t>2953805af1438be4</t>
  </si>
  <si>
    <t>99 Definition is adapted from Medical Device and Health IT Joint Security Plan version 2 (JSP2).
## Source page 60
Denial of Service – prevention or impairment to the authorized use of the information system,
resources, or services.100
Disposal – a process to end the existence of a system asset or system for a specified intended
use, appropriately handle replaced or retired assets, and to properly attend to identified critical
disposal needs (e.g., per an agreement, per organizational policy, or for environmental, legal,
safety, or security aspects).101
Encryption – is the cryptographic transformation of data (called “plaintext”) into a form (called
“ciphertext”) that conceals the data’s original meaning to prevent it from being known or used.102
End of support – a point beyond which the product manufacturer ceases to provide support,
which may include cybersecurity support, for a product or service.
Exploitability – the feasibility or ease and technical means by which the vulnerability can be
exploited by a threat.103
Firmware – software program or set of instructions programmed on the flash read-only memory
(ROM) of a hardware device. It provides the necessary instructions for how the device
communicates with the other computer hardware.104
Fuzz Testing – process of creating malformed or unexpected data or call sequences to be
consumed by the entity under test to verify that they are handled appropriately.105
Hardware – the material physical components of an information system.
Integrity – the property of data, information and software to be accurate and complete and have
not been improperly or maliciously modified.106
Least Privilege – a security principle that a system should restrict the access privileges of users
(or processes acting on behalf of users) to the minimum necessary to accomplish assigned
tasks.107
Lifecycle – all phases in the life of a medical device, from initial conception to final
decommissioning and disposal.
100 Definition is adapted from NIST Computer Security Resource Center Glossary.
101 Definition is adapted from ISO/IEC/IEEE 12207 Systems and Software Engineering – Software Life Cycle
Processes.
102 Definition is cited from NIST SP 800-82 Guide to Operational Technology (OT) Security.
https://doi.org/10.6028/NIST.SP.800-82r3
103 Definition is adapted from the Common Vulnerability Scoring System (CVSS) specification document.
104 Definition is adapted from NISTIR 8183 Cybersecurity Framework Manufacturing Profile.
https://doi.org/10.6028/NIST.IR.8183
105 Definition is adapted from NIST Computer Security Resource Center Glossary.
106 Definition is adapted from AAMI TIR 57 Principles for Medical Device Security – Risk management.
107 Definition is adapted from NIST Computer Security Resource Center Glossary.
## Source page 61
Malware – software or firmware intended to perform an unauthorized process that will have
adverse impact on the confidentiality, integrity, or availability of an information system.108
Patch – a “repair job” for a piece of programming; also known as a “fix.” A patch is the
immediate solution to an identified problem that is provided to users. The patch is not necessarily
the best solution for the problem, and the product developers often find a better solution to
provide when they package the product for its next release. A patch is usually developed and
distributed as a replacement for or an insertion in compiled code (that is, in a binary file or object
module). In many operating systems, a special program is provided to manage and track the
installation of patches.109
Patient harm – injury or damage to the health of patients, including death.110
Programmable logic – hardware that has undefined function at the time of manufacture and
must be programmed with software to function (e.g., Field-programmable gate array).
Quality of Service – necessary level of measurable performance in a data communications
system or other service which may include throughput (bandwidth), transit delay (latency), error
rates, priority, security, packet loss, packet jitter, etc.111
Reasonably foreseeable misuse – use of a product or system in a way not intended by the
manufacturer, but which can result from readily predictable human behavior.112
Resilience – the ability of an information system to continue to: (i) operate under adverse
conditions or stress, even if in a degraded or debilitated state, while maintaining essential
operational capabilities; and (ii) recover to an effective operational posture in a time frame
consistent with mission needs.113
Secure Product Development Framework (SPDF) – a set of processes that reduce the number
and severity of vulnerabilities in products. Additional information about an SPDF and its
implementation is discussed in Sections IV and V, and throughout the guidance.114
Security Architecture – a set of physical and logical security-relevant representations (i.e.,
views) of system architecture that conveys information about how the system is partitioned into
security domains and makes use of security-relevant elements to enforce security policies within
108 Definition is adapted from NIST Computer Security Resource Center Glossary.
109 Definition is adapted from NIST SP 800-45 Guidelines on Electronic Mail Security.
https://doi.org/10.6028/NIST.SP.800-45ver2
110 Patient harm from cybersecurity risks is discussed at length throughout this guidance and the Postmarket
Cybersecurity Guidance.
111 Definition is adapted from CNSSI 4009 National Information Assurance (IA) Glossary.
112 Definition is adapted from ISO 14971 Medical Devices – Application of Risk Management to Medical Devices.
113 Definition is cited from NIST Computer Security Resource Center Glossary.
114 The term “Secure Product Development Framework” was developed for the purposes of this guidance to help
reflect and encompass the concepts related to secure development lifecycles and frameworks. While the term SPDF
is new, the concepts around secure product development and risk management are not new, and align with
expectations in the QMSR and Labeling Regulations. As cybersecurity continues to evolve, FDA continues to align
its terminology to reflect best practices.
## Source page 62
and between security domains based on how data and information must be protected. The
security architecture reflects security domains, the placement of security-relevant elements
within the security domains, the interconnections and trust relationships between the security-
relevant elements, and the behavior and interactions between the security-relevant elements.115
Security Strength – a measure of the computational complexity associated with recovering
certain secret and/or security-critical information concerning a given cryptographic algorithm
from known data (e.g., plaintext/ciphertext pairs for a given encryption algorithm).116
Throughout this guidance “strong” and other iterations of this term may be used that apply to this
definition.
Security Risk Management – a process (or processes) that evaluates and controls threat-based
risks. For security risk management, this includes an evaluation of the impact of exploitation on the
device’s safety and effectiveness, the exploitability, and the severity of patient harm if exploited.
Software Bill of Materials (SBOM) – a formal inventory of software components and
dependencies, information about those components, and their hierarchical relationships.117 The
software components in an SBOM include, but are not limited to, commercial, open source, off-
the-shelf, and custom software components. See Section V.A.4 for a more complete description
of an SBOM.
System – the combination of interacting elements or assets organized to achieve one or
more function.118
Threat – any circumstance or event with the potential to adversely impact the device,
organizational operations (including mission, functions, image, or reputation), organizational
assets, individuals, or other organizations through an information system via unauthorized
access, destruction, disclosure, modification of information, and/or denial of service. Threats
exercise vulnerabilities, which may impact the safety or effectiveness of the device.119
Threat modeling – a methodology for optimizing system, product, network, application, and
connection security by identifying objectives and vulnerabilities, and then defining
countermeasures to prevent, or mitigate the effects of, threats to the system.120
115 Definition is adapted from NIST Computer Security Resource Center Glossary.
116 Definition is cited from NIST SP 800-108 Recommendation for Key Derivation Using Pseudorandom Functions.
https://doi.org/10.6028/NIST.SP.800-108
117 Definition is adapted from NTIA’s Framing Software Component Transparency: Establishing a Common
Software Bill of Materials (SBOM).
118 Definition is adapted from ISO/IEC/IEEE 12207 Systems and Software Engineering – Software Life Cycle
Processes. https://doi.org/10.1109/IEEESTD.2017.8100771
119 Definition is adapted from NIST SP 800-53 Security and Privacy Controls for Federal Information Systems and
Organizations. https://doi.org/10.6028/NIST.SP.800-53r5
120 Definition is adapted from CNSSI 4009 CNSS Glossary.
## Source page 63
Threat surface – the set of points on the boundary of a system, a system element, or an
environment where a cyber threat can try to enter, cause an effect on, or extract data from, that
system, system element, or environment.121
Trustworthy Device – a medical device that: (1) is reasonably secure from cybersecurity
intrusion and misuse; (2) provides a reasonable level of availability and reliability; (3) is
reasonably suited to performing its intended functions; and (4) adheres to generally accepted
security procedures to support correct operation.122
Uncontrolled risk – when there is unacceptable residual risk of patient harm due to
inadequate compensating controls and risk mitigations.
Unresolved anomaly – a defect that still resides in the software because a sponsor deemed it
appropriate not to correct or fix the anomaly, according to a risk-based rationale about its impact
to the device’s safety and effectiveness.123
Updatability and Patchability – the ease and timeliness with which a device and related assets
can be changed for any reason (e.g., feature update, security patch, hardware replacement).
Update – corrective, preventative, adaptive, or perfective modifications made to software of a
medical device.124
Vulnerability – a weakness in an information system, system security procedure(s), internal
control(s), human behavior, or implementation that could be exploited.
Vulnerability Chaining – the sequential exploit of multiple vulnerabilities in order to attack to
attack a system, where one or more exploits at the end of the chain require the successful
completion of prior exploits in order to be exploited.125
121  Definition is adapted from NIST Computer Security Resource Center Glossary.
122 Definition is adapted from NIST SP 800-32 Introduction to Public Key Technology and the Federal PKI
Infrastructure. https://doi.org/10.6028/NIST.SP.800-32
123 Definition is consistent with the Premarket Software Guidance even though we use the terms differently.
124 Definition is cited from IMDRF Guidance “Principles and Practices for Medical Device Cybersecurity.”
125 Definition is adapted from the Common Vulnerability Scoring System (CVSS) specification document.
## Source page 64
Guidance History[*] Date Description
Revisions to Final
Guidance
February
Revisions issued under Level 2
guidance procedures (21 CFR</t>
  </si>
  <si>
    <t>[[16, 15, 15, 15, 15]]</t>
  </si>
  <si>
    <t>caea85721ba21b5b</t>
  </si>
  <si>
    <t>17. A multi-parameter patient monitor for use in a professional healthcare facility.
Description: The device is a multi-parameter monitor intended for use on adult, pediatric, and neonatal patients in a professional healthcare facility. It is used for monitoring of various hemodynamic and respiratory vital signs and parameters, including central venous oxygen saturation, electrocardiogram (ECG), arrhythmia detection, invasive and non-invasive blood pressure, temperature, cardiac output, hemoglobin concentration, pulse oximetry, spirometry, airway gases, and gas exchange. It is designed to detect alarm conditions and generate alarm signals. It can be connected to the hospital network and other monitors to allow for remote viewing and management of patients.
ContainsNonbindingRecommendations
Rationale: A failure or latent flaw of the device software function(s), such as incorrect calculation of parameters or an exploited cybersecurity vulnerability that compromises its ability to provide life-threatening arrhythmia detection and alarms, would present a hazardous situation with a probable risk of death or serious injury to a patient, prior to the implementation of risk control measures.
Outcome: Enhanced Documentation Level</t>
  </si>
  <si>
    <t>[[38, 89, 484, 533, 547], [38, 141, 537, 562, 685], [39, 206, 405, 39, 50], [39, 142, 540, 78, 149], [39, 145, 352, 163, 175]]</t>
  </si>
  <si>
    <t>0297b6bd14b130b7</t>
  </si>
  <si>
    <t>3. A non-invasive blood pressure monitor with inflatable cuff.
Description: The device is intended to measure a person's systolic and diastolic blood pressure in units of mmHg through software-controlled inflation and deflation of the cuff. The device is a battery powered, reusable device for home and professional healthcare facility use.
Rationale: In general, a failure or latent flaw of the device software function(s) would not present a hazardous situation with a probable risk of death or serious injury to either a patient, user of the device, or others in the environment of use, prior to the implementation of risk control measures.
Outcome: Basic Documentation Level</t>
  </si>
  <si>
    <t>[[33, 89, 393, 411, 423], [33, 142, 529, 438, 491], [33, 143, 526, 507, 561], [33, 142, 332, 576, 590]]</t>
  </si>
  <si>
    <t>fdd323dbe9b72722</t>
  </si>
  <si>
    <t>2. Security Architecture Views
In addition to the design and development requirements,46 Subclause 8.5 of ISO 13485 requires
that manufacturers establish and maintain procedures for implementing improvement, including
corrective action and preventive action. The requirements under Subclause 8.4 for analyzing
quality data to identify existing and potential causes of quality problems are used to determine
the need for improvement under Subclause 8.5. FDA recommends that manufacturers develop
and maintain security architecture view documentation as a part of the process for the design,
development, and maintenance of the medical device system. If corrective and preventive actions
are identified, these views can be used to help identify impacted functionality and solutions that
address the risks.
FDA recommends that premarket submissions include the architecture views described in this
section. These architecture views can contribute to the demonstration of safety and effectiveness
in premarket submissions by illustrating how the controls to address cybersecurity risks have
been applied to the medical device system.
The security architecture may be expressed at different levels of abstraction and with different
scopes or views. The number and extent of the architecture views provided in the submission
depends on the attack surface(s) identified through threat modeling and risk assessments for the
medical device system. These views can therefore be an effective way to provide threat modeling
information to FDA and will naturally scale the documentation provided with the cybersecurity
risk of the device.</t>
  </si>
  <si>
    <t>[[4, 3, 3, 3, 3]]</t>
  </si>
  <si>
    <t>e70387b99b7b9538</t>
  </si>
  <si>
    <t>46 See Subclause 7.3 of ISO 13485.
## Source page 27
FDA recommends providing, at minimum, the following types of views in premarket
submissions:
· Global System View;
· Multi-Patient Harm View;
· Updateability/Patchability View; and
· Security Use Case View(s).
Documenting these views in premarket submissions should include both diagrams and
explanatory text. These diagrams and explanatory text should contain sufficient details to permit
an understanding of how the assets within the medical device system function holistically within
the associated implementation details. For the security architecture views, manufacturers should
follow the recommendations outlined in Appendix 2 when determining the level of detail to
include in premarket submissions.
These security architecture views should:
· Identify security-relevant medical device system elements and their interfaces;
· Define security context, domains, boundaries, critical user roles, and external interfaces
of the medical device system;
· Align the architecture with (a) the medical device system security objectives and
requirements, (b) security design characteristics in order to address the identified threats;
and
· Establish traceability of architecture elements to user and medical device system security
requirements. Such traceability should exist throughout the cybersecurity risk
management documentation.
If a particular view sufficiently captures the risks of another view identified above, we do not
expect manufacturers to duplicate documentation. Similarly, if threat modeling documentation
sufficiently captures the view, we do not expect manufacturers to duplicate documentation.
Additionally, if one of the views listed above is not appropriate, manufacturers should instead
provide an explanation for why the view is not included in the premarket submission.
The extent of these security views in a premarket submission is expected to scale based on the
architecture and potential cybersecurity risk posed to the device. For example, medical device
systems with network and/or cloud access would be expected to have more Security Use Case
Views than a medical device system that has only a USB interface.
(a) Global System View
A global system view should describe the overall medical device system, including the device
itself and all internal and external connections. For interconnected and networked devices, this
view should identify all interconnected elements, including any software update infrastructure(s),
healthcare facility network impacts, intermediary connections or devices, cloud connections, and
patient home network impact.
## Source page 28
Depending on the complexity of the medical device system, it may not be feasible to include all
data flow specifics in a singular global system view. Additional views can be provided that detail
the communication specifics as recommended in Appendix 2 and do not need to be duplicated if
captured in one of the other types of views detailed below.
(b) Multi-Patient Harm View
When devices are capable of connecting (wired or wirelessly) to another medical or non-medical
product, to a network, or to the Internet, there is the possibility that multiple devices can be
compromised simultaneously. Because of that connectivity, if a device is compromised, or if a
non-device function (i.e., any function that does not fall within section 201(h) of the FD&amp;C Act)
that could impact the device function is compromised, the device may introduce a safety risk to
patients through security risk. This may change the device’s functionality. For example, a non-
device function could be hacked to perform a device function and ultimately harm patients.
Depending on the device risk and use environment, a multiple-device compromise may have
severe impacts for multiple patients, either through impact to the device itself and/or to
healthcare facility operations (e.g., multiparameter bedside monitors all restarting at once,
leaving all monitors connected to the same network no longer monitoring patient vitals and
staffing levels not able to monitor all patient vitals).
FDA recommends that manufacturers address how their device(s) and the system(s) in which
they operate defend against and/or respond to attacks with the potential to harm multiple patients
in a multi-patient harm view. This view should include the information recommended in
Appendix 2. These risks, once identified, may also need to be assessed differently in the
accompanying cybersecurity risk assessment due to the different nature of the risk.
(c) Updatability and Patchability View
With the need to provide timely, reliable updates to devices in order to address emerging
cybersecurity risks throughout the TPLC of the device, FDA recommends manufacturers provide
an updateability and patchability view. This view should describe the end-to-end process that
permits software updates and patches to be provided (i.e., deployed) to the device, and should
include detailed information as recommended in Appendix 2.
For example, if a device manufacturer intends to push software from a software update server to
an in-clinic cardiac implant programmer, “end-to-end” means the path from the update server to
the in-clinic programmer that programs the implanted device. The software update path will
likely include traversing technology that the device manufacturer does not control, and therefore
the device design should provide for the protection of the end-to-end path and take into account
any additional cybersecurity risk created or posed by those non-manufacturer-controlled
technologies.
(d) Security Use Case Views
In addition to the views identified above, security use case views should also be provided.
Security use cases should be included for all medical device system functionality through which
## Source page 29
a security compromise could impact the safety or effectiveness of the device. These security use
cases should cover various operational states of elements in the medical device system (e.g.,
power on, standby, transition states) and assess clinical functionality states of the medical device
system (e.g., programming, alarming, delivering therapy, send/receive data, reporting diagnostic
results).
The number of security use cases that should be assessed will scale with the cybersecurity
complexity and risk of the device. Each view should include detailed information as
recommended in Appendix 2. For use cases identified that share the same security assessment,
the associated diagrams and explanatory text can describe the multiple use cases covered by the
view in lieu of providing duplicative information in multiple places. For example, programming
commands and sending/receiving device data may share the same communication protocol and
therefore may not exhibit differences between the security views for both scenarios, despite
having different clinical risk assessments.
C. Cybersecurity Testing
As with other areas of product development, testing is used to demonstrate the effectiveness of
design and development activities. While software development and cybersecurity are closely
related disciplines, cybersecurity controls require testing beyond standard software verification
and validation activities to demonstrate the effectiveness of the controls in a proper security
context to therefore demonstrate that the device has a reasonable assurance of safety and
effectiveness.
Under Subclause 7.3.6 of ISO 13485, a manufacturer must establish and maintain procedures for
verifying the device design. Such verification shall confirm that the design output meets the
design input requirements. Under Subclause 7.3.7, a manufacturer must establish and maintain
procedures for validating its device design. FDA recommends verification and validation include
sufficient testing performed by the manufacturer on the cybersecurity of the medical device
system through which the manufacturer verifies and validates their inputs and outputs, as
appropriate.
Security testing documentation and any associated reports or assessments should be submitted in
the premarket submission. FDA recommends that the following types of testing, among others,
be considered for inclusion in the submission:
· Security requirements;
· Manufacturers should provide evidence that each design input requirement was
implemented successfully.
· Manufacturers should provide evidence of their boundary analysis and rationale
for their boundary assumptions.
· Threat mitigation;
· Manufacturers should provide details and evidence of testing that demonstrates
effective risk control measures according to the threat models provided in the
global system, multi-patient harm, updatability and patchability, and security use
case views.
## Source page 30
· Manufacturers should ensure the adequacy of each cybersecurity risk control
(e.g., security effectiveness in enforcing the specified security policy,
performance for maximum traffic conditions, stability, and reliability, as
appropriate).
· Vulnerability Testing (described in ANSI/ISA 62443-4-1); and
· Manufacturers should provide details and evidence47 of the following testing and
analyses:
· Abuse or misuse cases, malformed and unexpected inputs;
· Robustness.
· Fuzz testing.
· Attack surface analysis;
· Vulnerability chaining;
· Closed box testing of known vulnerability scanning;
· Software composition analysis of binary executable files; and
· Static and dynamic code analysis, including testing for credentials that are
“hardcoded,” default, easily guessed, and easily compromised.
· Penetration testing.
· The testing should identify and characterize security-related issues via tests that
focus on discovering and exploiting security vulnerabilities in the product.
Penetration test reports should be provided and include the following elements:
· Independence and technical expertise of testers;
· Scope of testing;
· Duration of testing;
· Testing methods employed; and
· Test results, findings, and observations.
Device manufacturers should indicate in the test reports by whom the testing was performed
(e.g., independent internal testers, external testers) and what level of independence those
responsible for testing devices have from the developers responsible for designing devices. In
some cases, it may be necessary to use third parties to ensure an appropriate level of
independence between the two groups, such that vulnerabilities or other issues revealed during
testing are appropriately addressed. For any third-party test reports, manufacturers should
provide the original third-party report. For all testing, manufacturers should provide their
assessment of any findings including rationales for not implementing or deferring any findings to
future releases.
As discussed in Sections V.A.2 and V.A.3 above, vulnerabilities and anomalies identified during
testing should be assessed for their security impacts as part of the security risk management
process. In non-security software testing, a benefit analysis of a discovered defect may lead to
the conclusion that an anomaly does not need to be fixed, as its impact on medical device system
functionality may be small or unlikely. Conversely, in security testing, the exploitability of an
anomaly may necessitate that it is mitigated because of the greater, and different type of, harm
that it could facilitate.</t>
  </si>
  <si>
    <t>[[6, 5, 5, 5, 5]]</t>
  </si>
  <si>
    <t>8532fe96a1d04ada</t>
  </si>
  <si>
    <t>(1) Risk Management Plan
FDA recommends sponsors submit a risk management plan to support the effectiveness of the risk management activities and processes for a particular medical device.*" In FDA's review of the risk management plan, the Agency intends to primarily focus on:
· Individual risk acceptability criteria including the need for risk reduction (control).
· Method to evaluate the acceptability of the overall residual risk for all residual risks after all risk control measures have been implemented and verified.
The risk acceptability criteria should be based on the sponsor's process for determining acceptable risk. The acceptability criteria should be documented in the risk management plan before an initial risk evaluation is performed for the device software under review.
It should be clear in the risk management plan how the sponsor plans to evaluate the overall residual risk against the benefits of the intended use of the device.
ContainsNonbindingRecommendations</t>
  </si>
  <si>
    <t>[[19, 143, 310, 363, 378], [19, 70, 530, 395, 437], [19, 89, 504, 453, 464], [19, 88, 536, 478, 506], [19, 70, 519, 519, 561], [19, 69, 514, 574, 602], [20, 206, 405, 38, 50]]</t>
  </si>
  <si>
    <t>596c74ba37dd3407</t>
  </si>
  <si>
    <t>(2)Implementation
The speed required by the medical device system dictates the hardware selection, the network interface cards and transmissions protocols. For example, if the conventional Ethernet protocol is too slow for the intended application, then a different transmission protocol will be needed.
Simplicity of the LAN architecture versus fault tolerance is a trade-off that may arise in the implementation of the networked medical device systems. The LAN could be implemented as a linear bus network (perhaps the simplest scheme), but if any connecting link on the bus fails, the whole network can fail. A star topology with redundant centralized hub is an example of a more complex but more robust network structure.
Segmentation of high bandwidth applications may be employed to improve LAN performance.
Limiting the data traffic to data intensive clusters reduces traffic throughout the overall LAN.
D. Innovative Technologies
FDA recognizes OTs Software can perform advanced functions, which may involve the use of innovative technologies, such as artificial intelligence and machine learning. Relevant recommendations regarding the use of these advanced functions and their unique considerations will continue to evolve and become available through FDA guidance. The latest FDA guidance documents are available on FDA webpages, such as the Digital Health Center of Excellence's Guidances with Digital Health Content.
ContainsNonbindingRecommendations
Appendix B:Examples
Examples of medical devices using OTS software are described in this section. This list of examples is intended to illustrate the reasoning that leads to determining Documentation Level for a medical device and the corresponding OTS documentation recommended in a premarket submission. Please note that these generalized examples do not necessarily account for every possible detail, risk, or consideration a sponsor should evaluate. These examples do not define the appropriate Documentation Level for a particular device type or the corresponding OTS documentation to be included in a premarket submission. The rationales in the examples below are abbreviated and FDA encourages sponsors to provide a detailed assessment that accounts for the specifics of their device, including its corresponding OTS.</t>
  </si>
  <si>
    <t>[[18, 149, 282, 323, 337], [18, 76, 533, 349, 392], [18, 76, 529, 405, 473], [18, 78, 532, 488, 502], [18, 76, 523, 500, 514], [18, 121, 335, 538, 554], [18, 76, 538, 564, 645], [19, 215, 412, 39, 51], [19, 79, 252, 77, 91], [19, 76, 533, 100, 224]]</t>
  </si>
  <si>
    <t>DOC010_FDA_cybersecurity_2026_part03_pages017-024.md</t>
  </si>
  <si>
    <t>6e5f0549a7a6a083</t>
  </si>
  <si>
    <t>34 The MDIC/MITRE Playbook for Threat Modeling Medical Devices is an educational resource that discusses the
threat modeling process, different threat modeling techniques, and provides fictional medical device examples.
## Source page 18
and quantify the likelihood of an incident occurring based on historical data or modeling (also
known as a “probabilistic manner”). This non-probabilistic approach is not the fundamental
approach performed in safety risk management under ISO 14971 and further underscores why
safety and security risk management are distinct but connected processes. Instead, security risk
assessment processes focus on exploitability, or the ability to exploit vulnerabilities present
within a device and/or system. FDA recommends that manufacturers assess identified risks
according to the level of risk posed from the device and the system in which it operates.
Additional discussion on exploitability assessments for the security risk assessment can be found
in FDA’s Postmarket Cybersecurity Guidance.
The premarket assessment of exploitability of a cybersecurity risk may be different from the
exploitability assessment of a vulnerability discovered postmarket. In these instances, a
premarket exploitability assessment could either assume a worst-case assessment and implement
appropriate controls, or provide a justification for a reasonable exploitability assessment of the
risk throughout the TPLC and how the risk is controlled.
Acceptance criteria for cybersecurity risks should carefully consider the TPLC of the medical
device system, as it might be more difficult to mitigate cybersecurity issues once the device is
marketed. As discussed above in Sections IV.B and V.A, known vulnerabilities should be
assessed as reasonably foreseeable risks. The cybersecurity risk assessment for vulnerabilities
identified during cybersecurity testing should also consider the TPLC of the device as the
exploitability of the vulnerability is likely to increase over the device lifecycle. If a penetration
tester, for example, was able to exploit a vulnerability, the ability of a threat actor to exploit that
vulnerability is likely to increase over the device lifecycle. Furthermore, vulnerabilities identified
in CISA’sKnown Exploited Vulnerabilities Catalog should be designed out of the device, as
they are already being exploited and expose the medical device system and users to the risk.
FDA recommends that the cybersecurity risk assessment provided in premarket submissions
capture the risks and controls identified from the threat model. The methods used for scoring the
risk pre- and post-mitigation and the associated acceptance criteria as well as the method for
transferring security risks into the safety risk assessment process should also be provided as part
of the premarket submission.</t>
  </si>
  <si>
    <t>9d142d5b754864e3</t>
  </si>
  <si>
    <t>6. How will you keep track of (controll4) the OTS Software?
An appropriate plan should answer the following questions:
· What measures have been designed into the medical device to prevent the introduction of incorrect versions? On startup, ideally, the medical device should check to verify that all software is the correct title, version level, and configuration. If the correct software is not loaded, the medical device should warn the operator and shut down to a safe state.
·How will you maintain the OTS software configuration?
● Where and how will you store the OTS software?
● How will you ensure proper installation of the OTS software?
● How will you ensure proper maintenance and life cycle support for the OTS software?
B. Risk Assessment of OTS Software
As discussed in the guidance titled “Content of Premarket Submissions for Device Software Functions,*15 a risk management file should be provided as part of a device software premarket submission. For both Basic and Enhanced Documentation Levels this should include a risk management plan. It should be clear in the risk management plan how the sponsor plans to evaluate the overall residual risk. In addition, the risk management file should also include a risk assessment demonstrating that risks have been appropriately mitigated, and a risk management report. For OTS software, the risks associated with the functions of the OTS software used in the device should be documented in the risk management file.
For more information on risk management files, please refer to the FDA guidance titled “Content of Premarket Submissions for Device Software Functions.
C. Software Testing as Part of Verification and Validation
Sponsors should include documentation regarding test plans and test results as part of the verification and validation activities for the OTS software. Testing activities include not only those performed by the OTS software developer, but also include those performed by the sponsor when qualifying the OTS software for its use in the specific medical device. Commensurate with the Documentation Level (i.e., Basic or Enhanced) determined for the device software as
ContainsNonbindingRecommendations
discussed in the guidance titled “Content of Premarket Submissions for Device Software Functions,” sponsors should:
Describe testing of the OTS software and demonstrate it is appropriate and adequate for the hazards associated with the OTS software as documented in the risk management file.
ONote: FDA recommends that software test plans identify the exact OTS software (title and version) that is to be used. When the software is tested, it should be integrated and tested using the specific OTS software. Testing activities include those performed by the sponsor when qualifying the OTS software for its use in the specific medical device but may also include those performed by the OTS software developer.
Provide the results of the testing.
ONote: If the sponsor allows the use of the medical device with different versions of OTS software, then the sponsor should validate the medical device for each OTS software version.
● Provide a current list of OTS software defects.16
D. Assurance of Development Methodologies and Continued Maintenance of OTs Software
Generally, the following recommendations for premarket documentation are applicable to devices with Enhanced Documentation, where controls17 address the use of OTS software:</t>
  </si>
  <si>
    <t>[[9, 78, 383, 172, 184], [9, 90, 374, 198, 213], [9, 76, 526, 226, 282], [9, 78, 368, 284, 296], [9, 76, 335, 297, 311], [9, 77, 393, 313, 327], [9, 76, 510, 327, 341], [9, 122, 409, 362, 378], [9, 75, 543, 395, 504], [9, 75, 547, 516, 545], [9, 122, 485, 571, 608], [9, 76, 545, 627, 694], [10, 214, 412, 38, 50], [10, 77, 505, 71, 100], [10, 108, 543, 113, 142], [10, 131, 550, 142, 221], [10, 102, 272, 223, 237], [10, 131, 548, 239, 278], [10, 92, 347, 280, 297], [10, 122, 500, 316, 354], [10, 77, 512, 377, 403]]</t>
  </si>
  <si>
    <t>214bdb542d14e5ca</t>
  </si>
  <si>
    <t>42 NIST 800-160 vol. 1 rev. 1, Engineering Trustworthy Secure Systems states that security architecture
definition process generates a set of representative security views of the system architecture to inform the
selection of an appropriate security architecture. The process also ascertains vulnerability and susceptibility to
## Source page 24
devices and/or systems that interact, and detailed information on the implementations for how
those interactions occur and are secured. It contains information that demonstrates that the risks
considered during the risk management process are adequately controlled, which, in turn,
supports the demonstration of the safety and effectiveness of the medical device system.
Subclause 7.3.1 of ISO 13485 requires manufacturers to document procedures for design and
development. Under Subclause 7.3.2, a manufacturer must establish and maintain plans that
describe or reference the design and development activities and define responsibility for
implementation. Such plans must be maintained and updated as design and development
progresses (Subclause 7.3.2). Under Subclause 7.3.3, a manufacturer must determine and
maintain inputs related to product requirements to ensure that the design requirements relating to
a device are appropriate and address the intended use of the device. Under Subclause 7.3.4,
design and development outputs must be in a form suitable for verification against the design and
development inputs, and records must be maintained. Subclause 7.3.4 also states that design and
development outputs shall contain or make reference to product acceptance criteria and shall
ensure that those design outputs that are essential for its safe and proper use are identified.
FDA recommends that these plans and procedures include design processes, design
requirements, and acceptance criteria for the security architecture of the device such that they
holistically address the cybersecurity considerations for the device and the system in which the
device operates. FDA recommends that all medical devices provide and enforce the security
objectives in Section IV, above, but recognizes that implementations to address the security
objectives may vary.
FDA recommends that premarket submissions include documentation on the security
architecture. The objective in providing security architecture information in premarket
submissions is to provide to FDA the security context and trust-boundaries of the medical device
system in terms of the interfaces, interconnections, and interactions that the medical device
system has with external entities. The details of these elements enable the identification of the
parts of the medical device system in or through which incidents might occur. These details help
to provide a sufficient understanding of the system such that FDA can evaluate adequacy of the
architecture itself as it relates to safety and effectiveness.
Manufacturers should analyze the entire system to understand the full environment and context
in which the device is expected to operate. The security architecture should include a
consideration of system-level risks, including but not limited to risks related to the supply chain
(e.g., to ensure the device remains free of malware, or vulnerabilities inherited from upstream
dependencies such as third-party software, among others), design, production, and deployment
(i.e., into a connected/networked environment).
FDA recommends that this architecture information take the form of “views,” and that these
views be provided during premarket submissions to demonstrate safety and effectiveness.43 If the
documentation identified in this section already exists in other risk management documentation,
disruptions, hazards, and threats. For additional information, see NIST 800-160 vol. 1 rev. 1.
https://doi.org/10.6028/NIST.SP.800-160v1r1</t>
  </si>
  <si>
    <t>fc928928f0ddcbbe</t>
  </si>
  <si>
    <t>(6)Product Configuration
The submission must identify the product to be considered. Therefore, the product configuration provided should specify:
· Hardware platform (e.g., microprocessor, minimum memory required, addressable word size); · Software platform (such as operating system, communications, databases, necessary utilities, etc.); · OTS component(s) other than Utilities and Drivers (Appendix A, Section B) above
ContainsNonbindingRecommendations
(see recommended content discussed in the main body of this document); and Internally developed application(s).
B. Operating Systems, Drivers, and Utilities
The operating system software is the primary software program that manages the basic functions of the computer and its associated hardware, including peripherals. The operating system provides a basic user interface, is responsible for managing applications programs and tasks, controlling memory allocation and data storage devices, and providing input/output for the computer, as well as any additional peripheral devices that are present.
"Open” hardware (mass market) architecture computers vary widely in architectural and organizational characteristics such as timing, addressing, and processing. Operating systems and application software executing on these platforms should be “robust” enough to perform appropriately in this environment.
OTS operating systems are commonly considered for incorporation into medical devices as the use of general-purpose computer hardware becomes more prevalent. The use of OTS operating system software allows device manufacturers to concentrate on the application software needed to run device-specific functions. However, an OTS operating system software is intended for general-purpose computing and may not be appropriate for a given specific use in a medical device. Developers of OTS operating systems typically design their systems for general- purpose business or consumer computing environments and tasks where software failures and errors are more accepted. This acceptability of errors in the general- purpose computing environment may make the OTS operating system software inappropriate for less error-tolerant environments or applications.
The incorporation of OTS operating system software may also introduce unnecessary functions and complexity into a medical device. General-purpose functional requirements typically result in the OTS operating system software being large and unwieldy in the attempt to incorporate more functionality into the operating system. This excess functionality is typically never used for specific medical device applications and increases the likelihood that errors may be introduced into the operating system. The basic functions of an OTS operating systems used for medical device applications are typically the graphical user interface environment and the hardware interface functions. There are a number of operating systems used for timing- or resource-critical applications that provide the basic functionality needed to support user and hardware interfaces, but do not have many of the disadvantages of general-purpose business or consumer operating systems.
OTS driver software packages provide interface functions between the CPU, operating system, and the input/output peripheral. However, the performance and functionality of the OTS driver software may be affected by the overall system configuration and the OTS hardware. In most cases, a particular software driver derives from a particular interface protocol and contains the data signals, control signals, and timing signals for proper operation.
Since tests for most input/output interface/bus configurations require the particular bus analysis or logic analysis, scope, and knowledge of the particular interface protocol, the validation process for the OTS driver software package should be part of the system interface validation
ContainsNonbindingRecommendations
process. This includes the verification of the data values in both directions for the data signals; various mode settings for the control signals in both directions (if applicable); and the input/output interrupt and timing functions of the driver with the CPU and operating system.
Utility software is generally designed to work with a specific operating system. Unlike applications software, utility software is intended to supplant or enhance functions typically performed by the operating system. Examples of utility programs are memory managers, file managers, and virus checkers. Networking software can also be considered as utility software in that it allows multiple computers to access the same resources. Operating systems can also be designed to support or enable network operations without any additional utility software.
OTS utility software packages can perform the following functions: math functions (fast Fourier transform, sin, cos); display functions (graphic); management functions (copy, delete, store various computer data/files); and the data manipulation function (transfer from one Boolean type or both). The validation for these types of the software should be appropriate to the probable risk of death or serious injury, either to a patient, user of the device, or others in the environment of use as it pertains to use with a medical device.
C. Local Area Networks (LANs) and Other Networks
Medical devices, particularly multi-parameter patient monitors and imaging systems, are increasingly networked for clinical work groups, centralized monitoring, and storage of patient medical data and records. LANs and other networks support more and more communication and sharing of images, measurement data, audio, video, graphics, text, etc. This heterogeneous media environment comes at a cost of more processing power, higher bandwidth or network speed, sophisticated object-relational databases, and security and access considerations.
The evaluation of networked medical devices begins with a definition of the technical requirements of the network application and the understanding of those requirements.</t>
  </si>
  <si>
    <t>[[15, 149, 323, 606, 620], [15, 76, 538, 627, 655], [15, 105, 519, 667, 739], [16, 215, 412, 38, 50], [16, 123, 498, 74, 99], [16, 122, 462, 109, 128], [16, 76, 528, 142, 210], [16, 76, 521, 224, 280], [16, 76, 538, 293, 430], [16, 76, 538, 445, 597], [16, 76, 532, 610, 680], [16, 78, 536, 694, 736], [17, 215, 412, 39, 51], [17, 76, 532, 73, 115], [17, 77, 538, 126, 211], [17, 75, 525, 223, 307], [17, 122, 533, 324, 340], [17, 76, 542, 354, 438], [17, 78, 487, 453, 479]]</t>
  </si>
  <si>
    <t>8ef61e29913bc931</t>
  </si>
  <si>
    <t>ContainsNonbindingRecommendations
OTs Software labeling should indicate the minimum hardware platforms on which the software is validated to run (e.g., processor, memory, interface). The appropriate testing for the user to assure proper installation should also be described in the labeling.
If the hardware on which the OTS software runs is a stand-alone computer and the user is not “locked out' by hardware or software system features, then the user should be warned against installing any other software (utilities or applications programs) on the computer.
Appendix A: General Considerations for OTS Software
The purpose of this Appendix is to provide background information and general topic areas sponsors may want to consider when preparing a premarket submission for FDA's evaluation of OTS software used in a medical device. While these various topics may not be applicable to all OTS software, FDA believes that this remains pertinent information for sponsors to consider.
A. Maintenance and Obsolescence
Maintenance activities are generally considered to begin after the establishment and distribution of a medical device product baseline. The distinction between maintenance and product development is an important one. Product development design activities generally lead to a system structure of highly integrated components and logic. Maintenance activities introduce changes into this structure that may lead to a loss in the integrity of the structure.
Structure integrity may be affected through changes due to new design requirements, corrections, or environmental adaptations. These types of changes may impact the integrity of the structure organization, architecture, logic, integration, or any combination of these characteristics. Maintenance of products with OTS software components may be particularly problematic for reasons discussed in the main body of this document (i.e., the sponsor does not have control of the OTS software component life cycle process).
In particular, this section identifies general safety and effectiveness, design, software testing as a part of verification/validation, change, installation, and decommissioning concerns. These concerns may be applied to all regulated medical device software and stand-alone medical software devices. The appropriate evaluation will depend on the probable risk of death or serious injury, either to a patient, user of the device, or others in the environment of use.
Each concern below corresponds to a product development life cycle phase. The concerns identify fundamental maintenance concerns relevant to medical devices that include software.
Generally, when considering these topics, sponsors should follow the Quality System Regulations (21 CFR Part 820), which include requirements for Design Control (21 CFR 820.30) and Corrective and Preventive action (21 CFR 820.100).</t>
  </si>
  <si>
    <t>[[13, 215, 412, 39, 51], [13, 76, 535, 88, 128], [13, 78, 527, 142, 184], [13, 78, 500, 199, 217], [13, 76, 533, 231, 299], [13, 122, 388, 309, 323], [13, 77, 534, 333, 401], [13, 77, 534, 401, 483], [13, 77, 533, 498, 567], [13, 78, 529, 580, 609], [13, 77, 504, 609, 648]]</t>
  </si>
  <si>
    <t>bfe2fd0e27422152</t>
  </si>
  <si>
    <t>..24 ...25
H.
Software Testing as part of Verification and Validation....</t>
  </si>
  <si>
    <t>[[4, 512, 542, 432, 464], [4, 83, 96, 452, 462], [4, 115, 392, 452, 463]]</t>
  </si>
  <si>
    <t>40c3fb8d01119953</t>
  </si>
  <si>
    <t>(2) Risk Assessment
A risk assessment that includes a risk analysis, risk evaluation, risk control and a benefit-risk analysis (where applicable) should be provided for all device software. For software that is part of a system, a risk assessment should be performed on the system comprising the software and its whole hardware environment. If this information is covered in the system risk assessment documentation, this should be noted in the software documentation with reference to the particular section of the premarket submission.
For multiple function device products, the risk assessment should include the results of a risk- based analysis of any potential adverse impact or labeled positive impact of “other function(s), as that term is used in the guidance “Multiple Function Device Product: Policy and Considerations,” to the safety or effectiveness of the device function(s)-under-review.
A risk assessment should document the following items (e.g., in tabular format):
·Risk Analysis 0 Identification of known or foreseeable hazards43 (and their causes) associated with the device based on the intended use; reasonably foreseeable misuse whether intentional or unintentional; and the impacts to safety, treatment, and/or diagnosis.
For each identified hazard, the sponsor should consider the reasonably foreseeable sequences or combinations of events that can result in a hazardous situation,44 and should identify and document the resulting hazardous situation(s).
0 Estimation of the risk of each hazard and hazardous situation.45
OSeverity of the harm46 resulting from the hazardous situation.
· Initial Risk Evaluation of the Hazardous Situation 0 This includes assessment of acceptability (e.g., acceptable, not acceptable) and need for risk reduction (control) measures as defined in the risk management plan.
·Risk Control Measures
0 This should include the following risk control measures listed in descending order from highest to lowest priority:
ContainsNonbindingRecommendations
Design (e.g., eliminating or reducing unnecessary features, modifying the software architecture to prevent hazardous situations, modifying the user interface to prevent usability errors) Protective measures (e.g., defensive programming checks that detect unexpected faults followed by automatic intervention to halt the delivery of results or therapy, alarms allowing user intervention to prevent a hazardous situation) Information for safety (e.g., written warnings, on-screen warnings, training)
0There should be verification of the implementation of the risk control measures and verification of the effectiveness of the implemented risk control measures (i.e., the implemented risk control measure reduces risk). This can be accomplished by tracing the identified hazard to the verified specific risk control measures (e.g., a requirement ID in the SRS and SDS, a test name and identifier in the testing documentation that shows pass/fail results, a user manual name and identifier, a training manual name and identifier). For example, given an identified hazard (e.g., HAZ-XXX47), the following could be listed for traceability: a design related risk control measure that is documented in a software requirement specification (e.g., SRS-XXX) and software design specification (e.g., SDS-XXX), and tested as part of a unit test case (e.g., UT-XXX), integration test case (e.g., INT-XXX) and system test case (e.g., SYS-XXX). FDA recognizes that there may be instances where a specific hazard traces to several requirements/specifications and tests, thereby making the presentation of information cumbersome in the risk assessment document. Therefore, sponsors may choose to present this traceability in a separate document linking together software requirements specifications, software design specifications, testing and identified hazards derived from the risk assessment.
0 There should be an assessment of whether risk control measures introduce new hazards or hazardous situations or impact the initial risk evaluation
0 Document any risk control measures employed to mitigate increased risk or adverse effect on performance due to the combination of “other function(s),” as that term is used in the guidance “Multiple Function Device Products: Policy and Considerations,” with the device function-under-review.
Residual Risk Evaluation of the Hazardous Situation after implemented Risk Control Measures.
0 This includes assessment of acceptability (e.g., acceptable, not acceptable) as defined in the risk management plan.
ContainsNonbindingRecommendations
Benefit-Risk
0 If a residual risk is deemed not acceptable according to the acceptability criteria in the risk management plan and further risk control is not possible, the sponsor should provide documented benefit-risk analysis to demonstrate that the benefits of the intended use outweigh the residual risk, which may be referenced in other benefit-risk assessment documentation.</t>
  </si>
  <si>
    <t>[[20, 143, 271, 81, 95], [20, 70, 529, 109, 192], [20, 71, 532, 205, 260], [20, 70, 458, 274, 288], [20, 89, 540, 304, 357], [20, 142, 539, 358, 398], [20, 124, 448, 413, 428], [20, 124, 438, 440, 454], [20, 88, 538, 468, 510], [20, 89, 219, 524, 538], [20, 126, 537, 540, 566], [21, 206, 405, 38, 49], [21, 158, 525, 80, 189], [21, 124, 539, 202, 450], [21, 124, 524, 465, 491], [21, 125, 533, 507, 561], [21, 103, 516, 577, 603], [21, 125, 514, 604, 629], [22, 206, 405, 38, 49], [22, 93, 169, 80, 91], [22, 123, 540, 93, 161]]</t>
  </si>
  <si>
    <t>4bd7d09534bce71e</t>
  </si>
  <si>
    <t>(3)Risk Management Report
A risk management report should be provided to:
· Show how the risk management plan has been appropriately implemented.
Demonstrate that the risk management file has been assessed by the appropriate personnel and the overall residual risk is acceptable.
· Demonstrate appropriate methods are established for the collection and assessment of relevant production and post-production information.
D.
Software Requirements Specification (SRS)
The SRS documents the requirements48 for the software which typically specifies inputs and outputs, functions that the software will perform, hardware,49 performance,$° interfaces, 51 user interaction, error definition and handling, intended operating environment, safety related requirements derived from a risk assessment (Refer to Section VI.C Risk Management File) and all ranges, limits, defaults, and specific values that the software will accept. For additional details on what should be included in the software requirements specification, refer to the guidance, "General Principles of Software Validation.
ContainsNonbindingRecommendations
The QSR requires “a mechanism for addressing incomplete, ambiguous, or conflicting requirements.*52 Each requirement identified in the software requirements specification should be traceable and we recommend that the SRS be evaluated for accuracy, completeness, consistency, testability, correctness, and clarity.
A singular SRS document or set of multiple SRS documents should be provided. The documentation should include a description of the software requirement identification and tracking methodology used to support the traceability of the requirements. For example, in a device that includes multiple functions, components, and/or accessories, where each has its own individual SRS document and associated software device functions, the set of individual SRS documents would comprise the complete SRS.
FDA acknowledges that modern development practices may employ incremental or evolutionary software development practices. Additional forms of software requirements might be included in the submission, such as well elaborated stories, use cases, textual descriptions, screen mockups, and data flows.
In order to facilitate a timely premarket review, the following recommendations should be considered in preparing SRS documentation:
· Format the SRS to be well-organized, easily navigable and readable with the labeling and/or grouping of requirements (such as by modules or units of a function)
· Note any relevant traceability between requirements listed in the SRS and information related to those requirements in other software documentation (such as the SDs, System and Software Architecture Diagram, etc.).
· If the premarket submission involves a modification to an existing approved or cleared device, highlight all pertinent differences in software requirements.
· Identify the requirements the sponsor believes are most critical (i.e., could have the most significant impact) to the device's safety and effectiveness. These requirements could be highlighted within the SRS document and/or consolidated in a supplemental document that includes these requirements of interest in a summarized format. This technique may help facilitate the presentation of those requirements that most critically affect clinical functionality or performance specifications that are directly associated with the intended use of the device, or would otherwise impact the device's safety and effectiveness.
ContainsNonbindingRecommendations
· If any of the information requested above is included in another document, an annotation and a reference to the document in the submission where this information is located shouldbeprovided.
Documentation of requirements included in the premarket submission for the device function- under-review should include adequate detail to describe any expected relationship, utility, reliance, or interoperability with any “other function,”" as that term is used in the guidance “Multiple Function Device Products: Policy and Considerations.
E.System and Software Architecture Diagram
The purpose of the system and software architecture diagram is to present a roadmap of the device design to facilitate a clear understanding of:
· The modules and layers that make up the system and software;
· The relationships among the modules and layers;
· The data inputs/outputs and flow of data among the modules and layers; and
· How users or external products, including IT infrastructure and peripherals (e.g., wirelessly connected medical devices) interact with the system and software.
For purposes of the system and software architecture diagram, this guidance considers a module to be a discrete unit or architectural item within the system or software. A module could represent, for example, a finished hardware device within a system of hardware and software products, a hardware component within a finished hardware device, a finished software product within a system of software products, or a software function within a finished software product.
A module is not specifically meant to describe code-level software functions, although such code-level software functions could be considered modules if appropriate. The sponsor should determine what constitutes a module in the context of its system and software.
Sponsors should provide the appropriate level of detail in the system and software architecture diagram to convey the information in a manner that can facilitate an efficient premarket review, including descriptive text (in the diagram or in an accompanying document) to explain the architecture diagram where appropriate. A system and software architecture diagram that is not appropriately tailored (e.g., too high-level, too detailed, or overly confusing) or that is illegible (e.g., cropped diagrams, inadequate font size, unreadable without high magnification) could lead to requests for additional information from the FDA review division. To the extent appropriate, the system and software architecture diagram can be communicated in one or more diagrams and in one or more formats, and may convey different dimensions of the system and software. The system and software architecture diagram may comprise multiple static diagrams (e.g., those illustrated in Appendix B), dynamic diagrams (e.g., state diagrams), cybersecurity architecture diagrams, and others as needed for adequate detail. If more than one diagram is used, the sponsor</t>
  </si>
  <si>
    <t>[[22, 142, 326, 178, 192], [22, 73, 308, 208, 219], [22, 88, 465, 235, 249], [22, 106, 491, 263, 291], [22, 88, 521, 305, 332], [22, 108, 128, 355, 368], [22, 142, 440, 355, 369], [22, 69, 539, 395, 491], [23, 206, 405, 39, 50], [23, 70, 529, 81, 134], [23, 70, 534, 149, 230], [23, 70, 537, 245, 299], [23, 73, 504, 315, 341], [23, 89, 518, 355, 383], [23, 89, 531, 400, 439], [23, 88, 525, 454, 481], [23, 88, 535, 495, 593], [24, 206, 405, 38, 50], [24, 89, 533, 81, 120], [24, 70, 523, 135, 189], [24, 106, 442, 210, 227], [24, 70, 510, 253, 280], [24, 88, 409, 295, 309], [24, 88, 344, 322, 339], [24, 89, 474, 354, 365], [24, 89, 494, 379, 407], [24, 70, 533, 423, 491], [24, 69, 526, 490, 530], [24, 69, 539, 545, 712]]</t>
  </si>
  <si>
    <t>c5c6021190de86ec</t>
  </si>
  <si>
    <t>9.  An in vitro nucleic acid test for the qualitative detection of Human Papillomavirus (HPV) DNA in human cervical specimens.
Description: The test is intended for routine cervical cancer screening as per professional medical guidelines, including triage of AsC-US (atypical squamous cells of undetermined significance) cytology, co-testing (or adjunctive screen) with cytology, and HPV primary screening of women to assess the risk for cervical precancer and cancer. Patients should be followed-up in accordance with professional medical guidelines, results from prior screening, medical history, and other risk factors.
ContainsNonbindingRecommendations
Rationale: While the test is classified as a class Ill device, a failure or latent flaw of the device software function(s) would not present a probable risk of death or serious injury to either a patient, user of the device, or others in the environment of use prior to the implementation of risk control measures. There are several alternatives for the detection of cervical cancer precursors including testing by cytology alone, co-testing with HPV alongside or as a follow-up to cytology or HPV testing as a first line screening test for cervical cancer. The patient's age, medical history, and thorough physical examination will provide further information on the risk of cervical disease, as well as the need for referral to colposcopy. The test should only be used in conjunction with this clinical information in accordance with professional clinical patient management guidelines.
Outcome: Basic Documentation Level</t>
  </si>
  <si>
    <t>[[35, 89, 538, 549, 575], [35, 142, 538, 585, 680], [36, 206, 405, 38, 50], [36, 141, 535, 80, 245], [36, 144, 332, 260, 271]]</t>
  </si>
  <si>
    <t>523188ac6bd24779</t>
  </si>
  <si>
    <t>23. A continuous glucose monitoring system.
Description: The device is intended to provide real time, continuous glucose monitoring for the management of diabetes in persons 2 years of age and older. It is intended to replace fingerstick blood glucose testing for diabetes treatment decisions. It aids in the detection of episodes of hyperglycemia and hypoglycemia and facilitates both acute and chronic therapy adjustments.
Rationale: A failure or latent flaw of the device software function(s), such as failure to provide correct blood glucose measurement or detection of hypoglycemia, would present a hazardous situation with a probable risk of death or serious injury to either a patient, user of the device, or others in the environment of use prior to the implementation of risk control measures.
Outcome: Enhanced Documentation Level</t>
  </si>
  <si>
    <t>[[41, 88, 307, 92, 105], [41, 143, 537, 120, 189], [41, 142, 531, 202, 272], [41, 143, 352, 287, 299]]</t>
  </si>
  <si>
    <t>8dd3ad01538a6cae</t>
  </si>
  <si>
    <t>21 For more information on reasonably foreseeable misuse, see the IMDRF final guidance “Principles and Practices
for Medical Device Cybersecurity.”
## Source page 12
device system is more likely to be secure by design, such that the device is designed from the
outset to be secure within its system and/or network of use throughout the device lifecycle.
C. Transparency
A lack of cybersecurity information, such as information necessary to integrate the device into
the use environment, as well as information needed by users to maintain the medical device
system’s cybersecurity over the device lifecycle, has the potential to affect the safety and
effectiveness of a device. In order to address these concerns, it is important for device users to
have access to information pertaining to the device’s cybersecurity controls, potential risks to the
medical device system, and other relevant information. For example:
· A failure to disclose all of the communication interfaces or third-party software could fail
to convey potential sources of risks;
· Insufficient information pertaining to whether a device has known but not disclosed
cybersecurity vulnerabilities or risks may be relevant to determining whether a device’s
safety or effectiveness could be degraded; and/or
· Labeling that does not include sufficient information to explain how to securely configure
or update the device may limit the ability of end users to appropriately manage and
protect the medical device system.
This information and other relevant information are important in helping users understand a
medical device system’s resilience to cybersecurity threats, the threats that it may be exposed to,
and how those threats may be prevented or mitigated. Without it, cybersecurity risks could be
undisclosed, inappropriately identified, or inappropriately responded to, among other potential
impacts, which could lead to compromises in device safety and effectiveness.
FDA believes that the cybersecurity information discussed in this guidance is important for the
safe and effective use of devices and should be included in device labeling, as discussed below in
Section VI.
D. Submission Documentation
Device cybersecurity design and documentation are expected to scale with the cybersecurity risk
of that device. Manufacturers should take into account the larger system in which the device may
be used. For example, a cybersecurity risk assessment performed on a simple, non-connected
thermometer may conclude that the risks are limited, and therefore such a device needs only a
limited security architecture (i.e., addressing only device hardware and software) and few
security controls based on the technical characteristics and design of the device. However, if a
thermometer is used in a safety-critical control loop, or is connected to networks or other
devices, then the cybersecurity risks for the device are considered to be greater and more
substantial design and development activities should result. Submitters should consider including
in premarket submissions to FDA documentation generated from those design and development
activities used during the development of a device with cybersecurity risks as a way to
demonstrate reasonable assurance of safety and effectiveness. This guidance identifies the
## Source page 13
cybersecurity information FDA recommends to help support a premarket submission for devices
within the scope of this guidance, including but not limited to cyber devices.22
As cybersecurity is part of device safety and effectiveness, cybersecurity controls established
during premarket development should also take into consideration the intended and actual use
environment (see Section IV.B). Cybersecurity risks evolve over time and as a result, the
effectiveness of cybersecurity controls may degrade as new risks, threats, and attack methods
emerge. In the 510(k) context, FDA evaluates the cybersecurity information submitted and the
protections the cybersecurity controls provide in demonstrating substantial equivalence (see
section 513(i) of the FD&amp;C Act and 21 CFR 807.100(b)(2)(ii)(B)).23
In addition, inadequate cybersecurity information in the device labeling may cause a device to be
misbranded under section 502(f) of the FD&amp;C Act if its labeling does not bear adequate
directions for use or under section 502(j) of the FD&amp;C Act because it is dangerous to health
when used in the manner recommended or suggested in the labeling, among other possible
violations. For cyber devices, failure to comply with any requirement under section 524B(b)(2)of
the FD&amp;C Act (relating to ensuring device cybersecurity) is considered a prohibited act under
section 301(q) of the FD&amp;C Act.
This guidance recommends cybersecurity information be included in submissions based on
cybersecurity risks, not on any other criteria or level of risk/concern established in a separate
FDA guidance (e.g., the risk-based approach in the Premarket Software Guidance to help
determine a device’s Documentation Level). For example, a device that is determined to have a
greater software risk may only have a small cybersecurity risk due to how the device is designed.
Likewise, a device with a smaller software risk may have a significant cybersecurity risk.
Therefore, the recommendations in this guidance regarding information to be submitted to FDA
are intended to address the cybersecurity risk, as assessed by the cybersecurity risk assessment
during development of a device, and are expected to scale based on the cybersecurity risk. The
premarket submission documentation recommendations throughout this guidance apply to all
premarket submissions and are intended to be used to support FDA’s assessment of a device’s
safety and effectiveness.
For cyber devices, some of the information recommended in this guidance may help
manufacturers meet their obligations for what is required to be in premarket submissions under
section 524B of the FD&amp;C Act.
V. Using an SPDF to Manage Cybersecurity Risks
The documentation recommended in this guidance is based on FDA’s experience evaluating the
safety and effectiveness of devices with cybersecurity vulnerabilities. However, sponsors may
use alternative approaches and provide different documentation so long as their approach and
documentation satisfy premarket submission requirements in applicable statutory provisions and</t>
  </si>
  <si>
    <t>[[12, 11, 11, 11, 11]]</t>
  </si>
  <si>
    <t>DOC010_FDA_cybersecurity_2026_part07_pages049-056.md</t>
  </si>
  <si>
    <t>ecad08585ff47c89</t>
  </si>
  <si>
    <t># DOC010 FDA Cybersecurity in Medical Devices (2026) - Part 7
&gt; Source pages 49-56 of the official PDF. Page-preserving RAGFlow ingestion part.
## Source page 49
· Design devices to notify users when malfunctions or anomalous device behavior,
including those potentially related to a cybersecurity breach, are detected.
· Consider designing devices such that they are able to produce an SBOM in a machine
readable format.
Resiliency and Recovery
Devices should be designed to be resilient to possible cyber incident scenarios (also known as
“cyber-resiliency”) and maintain availability. Cyber-resiliency capabilities are important for
medical devices because they provide a safety margin against unknown future vulnerabilities.
The following recommendations are intended to help designers achieve cyber-resiliency:
· Implement features that protect critical functionality and data, even when the device has
been partially compromised. For example, process isolation, virtualization techniques,
and hardware-backed trusted execution environments all provide mechanisms to
potentially contain the impact of a successful exploitation of a device.
· Design devices to provide methods for retention and recovery of trusted default device
configuration by an authenticated, authorized user.
· Design devices to specify the level of resilience, or independent ability to function, that
any component of the medical device system possesses when its communication
capabilities with the rest of the medical device system are disrupted, including disruption
of significant duration.
· Design devices to be resilient to possible cyber incident scenarios such as network
outages, Denial of Service, excessive bandwidth usage by other products, disrupted
quality of service (QoS), and/or excessive jitter (i.e., a variation in the delay of received
packets).
· Design devices to be resilient to possible noise items (e.g., scanning).
Firmware and Software Updates
Devices should be capable of being updated in a secure and timely manner to maintain safety and
effectiveness throughout the product’s lifecycle. Despite best efforts, undiscovered, exploitable
vulnerabilities may exist in devices after they are marketed. This is especially true over the
device’s service life, as threats evolve over time and exploit methods change, and become more
sophisticated.
FDA recommends that manufacturers should not only build in the ability for devices to be
updated, but that manufacturers also plan for the rapid testing, evaluation, and patching of
devices deployed in the field. The following recommendations can help to achieve this:
· Design devices to anticipate the need for software and firmware patches and updates to
address future cybersecurity vulnerabilities. This will likely necessitate the need for
additional storage space and processing resources.
· Consider update process reliability and how update process works in event of
communication interruption or failure. This should include both considerations for</t>
  </si>
  <si>
    <t>[[1, 0, 0, 0, 0]]</t>
  </si>
  <si>
    <t>e74038568f2e6e70</t>
  </si>
  <si>
    <t>49 Users often manage security risks in medical device systems by an end user or within a larger risk management
framework like the NIST CSF.
## Source page 32
For devices with cybersecurity risks, informing users of relevant security information may be an
effective way to comply with labeling requirements relating to such risks. FDA also believes that
informing users of security information through labeling may be an important part of design and
development activities to help mitigate cybersecurity risks and help ensure the continued safety
and effectiveness of the device. Therefore, when drafting labeling for inclusion in a premarket
submission, a manufacturer should consider all applicable labeling requirements and how
informing users through labeling may be an effective way to manage cybersecurity risks and/or
to ensure the safe and effective use of the device. Any risks transferred to the user should be
detailed and considered for inclusion as tasks during usability testing (e.g., human factors
testing)50 to ensure that the type of user has the capability to take appropriate actions to manage
those risks.
The recommendations below aim to communicate to users the relevant device security
information that may enable their own ongoing security posture, thereby helping ensure a device
remains safe and effective throughout its lifecycle. The depth of detail, the exact location in the
labeling for specific types of information (e.g., operator’s manual, security implementation
guide), and the method to provide this information should account for the intended user of the
information. Instructions to manage cybersecurity risks should be understandable to the intended
audience, which might include patients or caregivers with limited technical knowledge. The
manufacturer may wish to employ methods to ensure certain information is available only to the
user, and if it does so through an online portal, should ensure that users have up-to-date links that
contain accurate information.51
The following are examples of information that may be included in labeling to communicate
relevant security information to users:52
· Device instructions and product specifications related to recommended cybersecurity
controls appropriate for the intended use environment (e.g., anti-malware software, use of
a firewall, password requirements).
· Sufficiently detailed diagrams for users that allow recommended cybersecurity controls
to be implemented.
· A list of network ports and other interfaces that are expected to receive and/or send data.
This list should include a description of port functionality and indicate whether the ports
are incoming, outgoing, or both, along with approved destination end-points.
· Specific guidance to users regarding supporting infrastructure requirements so that the
device can operate as intended (e.g., minimum networking requirements, supported</t>
  </si>
  <si>
    <t>[[9, 8, 8, 8, 8]]</t>
  </si>
  <si>
    <t>c0878e527471853b</t>
  </si>
  <si>
    <t>3. Interoperability Considerations
Interoperability is an important consideration when assessing the cybersecurity of the end-to-end
medical device system. As identified in FDA’s guidance “Design Considerations and Pre-market
Submission Recommendations for Interoperable Medical Devices,” hereafter referred to as the
“Interoperability Guidance,” interoperable medical devices have the ability to exchange and use
information through an electronic interface with another medical or nonmedical product, system,
or device.
As part of a medical device system, a device may have cybersecurity considerations from
interoperable functionality, including but not limited to interfaces with:
· Other medical devices and accessories;
## Source page 19
· “Other functions” as identified in FDA’s guidance “Multiple Function Device Products:
Policy and Considerations;”
· Healthcare infrastructure (e.g., network, Electronic Medical Records, medical imaging
systems); and
· General-purpose computing platforms.
While cybersecurity controls may increase the complexity of interfaces to allow for
interoperability, when properly implemented, the cybersecurity controls can help ensure that
these capabilities remain safe and effective. Cybersecurity controls should be used as a means to
allow for the safe and effective exchange and use of information. Additionally, cybersecurity
controls should not be intended to prohibit a user from accessing their device data.
When common technology and communication protocols are used to enable interoperability
(e.g., Bluetooth, Bluetooth Low Energy, network protocols), device manufacturers should assess
whether added security controls beneath such communication are needed to ensure the safety and
effectiveness of the device (e.g., added security controls beneath Bluetooth Low Energy to
protect against risks if vulnerabilities in the Bluetooth Low Energy protocol or supporting
technology are discovered).
In addition to the recommendations in the Interoperability Guidance, manufacturers should
consider the appropriate cybersecurity risks and controls associated with the interoperability
capabilities and document these considerations as recommended throughout this guidance.</t>
  </si>
  <si>
    <t>a8535e0b72cc34f8</t>
  </si>
  <si>
    <t>16 In the postmarket context, design and development may also be important to ensure medical device cybersecurity
and maintain medical device safety and effectiveness. FDA recommends that device manufacturers implement
comprehensive cybersecurity risk management programs and documentation consistent with the QMSR, including
but not limited to complaint handling (ISO 13485 Subclause 8.2.2 and 21 CFR 820.35(a)), quality audit (Subclause</t>
  </si>
  <si>
    <t>502aa52c6514fc69</t>
  </si>
  <si>
    <t>(1) Requirements Analysis
B. Speed - The response time required for safe and effective operation determines the LAN data rate (bandwidth) for the medical device system. The CPU processing power and clock speed required at device monitors, workstations, and client machines should be appropriate so that bottlenecks do not occur.
C.  LAN Architecture - The size of the LAN (the number of user nodes) and the topology of the LAN should be specified.
1.
Discuss to what extent the LAN needs to be fault tolerant (e.g., when a workstation fails).
2.
Discuss to what extent the LAN needs to be scalable (i.e., can new user nodes be added without degrading system performance?).
3.
Discuss to what extent the main device software needs to be computationally self- sufficient or distributed.
D. Network Operating System (NOS) - Whether OTS or proprietary, this selection should consider the trade-off between robustness and flexibility.
ContainsNonbindingRecommendations
E. Data Integrity - One of the most important issues for any medical device operating in a network is data integrity. The manufacturer should ensure that the network system software and hardware incorporate error checking, handling, and correction measures as determined by a cybersecurity risk assessment.
Transmission of data packets and files should include error detection
1.
and protection measures, such as digital signatures or cryptographic integrity checks.
2.
Transaction rollback after non-committed changes or network failure, supports data integrity in medical device LANs.
Critical data and files may be stored in duplicate at separate locations.
3.
F.
Network Management and Security - User authorization and authentication should precede accesses to sensitive patient information.
The above five items are not independent. Decisions made in one item area may affect the performance of the LAN in another area.</t>
  </si>
  <si>
    <t>[[17, 149, 325, 495, 510], [17, 76, 531, 515, 571], [17, 76, 533, 589, 617], [17, 104, 131, 618, 631], [17, 135, 474, 618, 644], [17, 104, 131, 646, 658], [17, 134, 521, 646, 673], [17, 104, 133, 673, 685], [17, 132, 528, 673, 699], [17, 75, 491, 713, 741], [18, 215, 412, 39, 51], [18, 75, 536, 85, 141], [18, 135, 466, 142, 156], [18, 106, 118, 142, 153], [18, 135, 462, 155, 182], [18, 105, 124, 183, 195], [18, 135, 470, 183, 212], [18, 134, 470, 210, 224], [18, 104, 133, 211, 223], [18, 79, 90, 237, 247], [18, 78, 467, 240, 265], [18, 78, 508, 279, 307]]</t>
  </si>
  <si>
    <t>9955407518612ee5</t>
  </si>
  <si>
    <t>23 For more information regarding the substantial equivalence review standard, please refer to FDA’s guidance, “The
510(k) Program: Evaluating Substantial Equivalence in Premarket Notifications [510(k)].”
## Source page 14
regulations. The increasingly interconnected nature of medical devices has demonstrated the
importance of addressing cybersecurity risks associated with device connectivity in device
design because of the effects on safety and effectiveness.24 Cybersecurity risks to the medical
device or to the larger medical device system can be reasonably controlled through using an
SPDF.
The primary goal of using an SPDF is to manufacture and maintain safe and effective devices.
From a security standpoint, these are also trustworthy and resilient devices. These devices can
then be managed (e.g., installed, configured, updated, review of device logs) through the device
design and associated labeling by the device manufacturers and/or users (e.g., patients,
healthcare facilities). For healthcare facilities, these devices can also be managed within their
own cybersecurity risk management frameworks, such as the National Institute of Standards and
Technology (NIST) Framework for Improving Critical Infrastructure Cybersecurity, generally
referred to as the NIST Cybersecurity Framework or NIST CSF.25
FDA recommends that manufacturers use device design processes such as those described in the
QMSR, including ISO 13485, to support secure product development and maintenance. To
preserve flexibility for manufacturers, manufacturers may use other existing frameworks that
satisfy the QMSR and align with FDA’s recommendations for using an SPDF. Possible
frameworks to consider include, but are not limited to, the medical device-specific framework
that can be found in the Medical Device and Health IT Joint Security Plan (JSP2) 26 and IEC
81001-5-1. Frameworks from other sectors may also comply with the QMSR, like the framework
provided in ANSI/ISA 62443-4-1 Security for industrial automation and control systems Part 4-
1: Product security development life-cycle requirements.27
The following subsections provide recommendations for using SPDF processes that FDA
believes provide important considerations for the development of devices that are safe and
effective, how these processes can complement the QMSR, and the documentation FDA
recommends manufacturers provide for review as part of premarket submissions. These
recommendations may be helpful for manufacturers of cyber devices that must “design, develop,
and maintain processes and procedures to provide a reasonable assurance that the device and
related systems are cybersecure . . .” pursuant to section 524B(b)(2) of the FD&amp;C Act (see
Section VII.C.2). The information in these sections does not represent a complete SPDF. For
more information on SPDFs, see earlier in Section V. In addition, FDA does not recommend that
manufacturers discontinue existing, effective processes.
A. Security Risk Management
To fully account for cybersecurity risks in medical device systems, the safety and security risks
of each device should be assessed within the context of the larger system in which the device
operates. In the context of cybersecurity, security risk management processes are critical</t>
  </si>
  <si>
    <t>[[14, 13, 13, 13, 13]]</t>
  </si>
  <si>
    <t>db95a7e992e14c9f</t>
  </si>
  <si>
    <t>5. How do you know it works?
· Based on documentation Level (i.e., Basic or Enhanced) determined for the device software as discussed in the guidance titled “Content of Premarket Submissions for Device Software Functions,*13 sponsors should: Describe testing, verification, and validation of the OTS Software and ensure it is appropriate for the device hazards
ContainsNonbindingRecommendations
associated with the OTS Software.
Provide the results of the testing.
· Is there a current list of OTS Software problems (bugs) and access to updates?
For more information on software testing, verification, and validation, please see section IⅢI.C.</t>
  </si>
  <si>
    <t>[[8, 76, 239, 628, 642], [8, 108, 522, 656, 710], [9, 215, 412, 39, 50], [9, 125, 290, 73, 85], [9, 122, 284, 85, 99], [9, 105, 499, 101, 115], [9, 89, 515, 128, 154]]</t>
  </si>
  <si>
    <t>b03265993ed339bf</t>
  </si>
  <si>
    <t>(3) Software Testing as Part of Verification and Validation
As in the establishment of a product baseline, verification and validation (V&amp;V) activities should occur when maintenance changes are made to a product baseline. Analysis of these changes directs necessary V&amp;V activities. New OTS software component(s) in a product baseline introduce unknown logic paths and complexities into the product. “Black-box” testing of OTS software component(s) may allow some validation claims to be made. However, the unknown logic paths and complexities of OTS software component(s) make it important to know that design structure or logic elsewhere in the system is not impacted. This means a full system regression test should be performed. Results of these testing activities should be
ContainsNonbindingRecommendations
documented. For more information on software testing as part of verification and validation, please refer to the FDA guidance titled “Content of Premarket Submissions for Device SoftwareFunctions."
The submission should answer the following questions:
· Do test reports provide objective evidence that identified OTS software component hazards have been addressed?
Do test reports provide objective evidence that all identified system hazards have been addressed?
Has a system regression test been performed?</t>
  </si>
  <si>
    <t>[[14, 149, 516, 605, 619], [14, 76, 534, 626, 736], [15, 215, 412, 39, 50], [15, 77, 523, 72, 113], [15, 78, 342, 129, 141], [15, 106, 523, 156, 183], [15, 122, 511, 186, 211], [15, 122, 344, 213, 227]]</t>
  </si>
  <si>
    <t>16b5b6643c1921b4</t>
  </si>
  <si>
    <t>7.3.7). Design and development validation includes validation of device software. In addition,
Subclause 7.1 of ISO 13485 specifies that the “organization shall document one or more
processes for risk management in product realization.” As part of the software validation
required by Subclause 7.3.7, and risk management, including the requirements of Subclause 7.1,
software device manufacturers may need to establish cybersecurity risk management and
validation processes, where appropriate. See also FDA’s guidance titled “Content of Premarket
Submissions for Device Software Functions.”
Software validation and risk management are key elements of cybersecurity analyses and
demonstrating whether a device has a reasonable assurance of safety and effectiveness. FDA
requires manufacturers to implement development processes that account for and address
software risks throughout the design and development process, as discussed in ISO 13485
regarding design and development, which may include cybersecurity considerations.19 For
example, these processes should address the identification of security risks, the design
requirements for how the risks will be controlled, and the evidence that the controls function as
designed and are effective in their environment of use for ensuring adequate security.</t>
  </si>
  <si>
    <t>9e2360dde6a26dec</t>
  </si>
  <si>
    <t>(1)Safety
Introduction of new or modified OTS software component(s) to a product baseline may impact the safety of the product. Therefore, a safety impact assessment of the medical device should be performed, and associated hazards documented in a Risk Management File. For more information on risk management files, please refer to the FDA guidance titled “Content of
ContainsNonbindingRecommendations
Premarket Submissions for Device Software Functions." Traceability between these identified hazards, their design requirements, and test reports should be provided.
Analysis should include the review of release bulletins (known error reports), user manuals, specifications, patches, and literature and internet searches for other user's experience with the OTS software component(s).
The submission should answer the following questions
· Has a risk assessment with traceability to requirements and test reports been provided?
Are safety functions isolated from new OTS software component(s)?
Does the new OTS software component(s) affect system safety integrity?
What new human factors conditions are introduced with new OTS software component(s)?</t>
  </si>
  <si>
    <t>[[13, 150, 223, 665, 679], [13, 77, 534, 684, 740], [14, 214, 413, 37, 51], [14, 76, 529, 74, 101], [14, 78, 533, 114, 154], [14, 78, 340, 170, 182], [14, 105, 541, 197, 211], [14, 123, 454, 213, 225], [14, 123, 475, 228, 240], [14, 125, 486, 242, 269]]</t>
  </si>
  <si>
    <t>14c6940c6478b5ca</t>
  </si>
  <si>
    <t># DOC010 FDA Cybersecurity in Medical Devices (2026) - Part 2
&gt; Source pages 9-16 of the official PDF. Page-preserving RAGFlow ingestion part.
## Source page 9
Additionally, section 3305 of the Food and Drug Omnibus Reform Act of 2022 (“FDORA”),
enacted on December 29, 2022, added section 524B “Ensuring Cybersecurity of Medical
Devices” to the FD&amp;C Act. Effective March 29, 2023, with respect to premarket submissions for
“cyber devices,” section 524B(a) provides that sponsors must include information to ensure the
device meets the cybersecurity requirements under section 524B(b).14 Under section 524B(a) of
the FD&amp;C Act, a person who submits a 510(k), PMA, PDP, De Novo, or HDE for a device that
meets the definition of a cyber device, as defined under section 524B(c), is required to submit
information to ensure that cyber devices meet the cybersecurity requirements under section
524B(b).15 Section 524B(c) of the FD&amp;C Act defines “cyber device” as a device that “(1)
includes software validated, installed, or authorized by the sponsor as a device or in a device; (2)
has the ability to connect to the internet; and (3) contains any such technological characteristics
validated, installed, or authorized by the sponsor that could be vulnerable to cybersecurity
threats” (see Section VII.B for more information on the term “cyber device”). The
recommendations in this guidance are intended to help manufacturers meet their obligations
under section 524B of the FD&amp;C Act.
IV. General Principles
This section provides general principles for device cybersecurity relevant to device
manufacturers. The principles in this guidance are important to the improvement of device
cybersecurity and, when followed, are expected to have a positive impact on the safety and
effectiveness of the device. The recommendations in this guidance cover all relevant
cybersecurity considerations that may affect device safety and effectiveness, including but not
limited to software, hardware, and firmware.
A. Cybersecurity is Part of Device Safety and the Quality
Management System Regulation (QMSR)
Device manufacturers must establish and follow quality management systems to help ensure that
their products consistently meet applicable requirements and specifications. The quality
management systems requirements are found in the QMSR in 21 CFR Part 820, which
incorporates by reference ISO 13485. Depending on the device, QMS requirements may be
relevant at the premarket stage, postmarket stage,16 or both.</t>
  </si>
  <si>
    <t>57142b3348ea98f5</t>
  </si>
  <si>
    <t>..15
Software Requirements Specification (SRS)</t>
  </si>
  <si>
    <t>[[4, 519, 541, 282, 294], [4, 114, 331, 300, 314]]</t>
  </si>
  <si>
    <t>fd45675f36df9e20</t>
  </si>
  <si>
    <t>2. What are the Computer System Specifications for the OTS Software?
For what configuration will the OTS software be validated? The following should be specified:
● Hardware specifications: processor (manufacturer, speed, and features), RAM (memory size), hard disk size, other storage, communications, display, etc.
● Software specifications: operating system, drivers, utilities, etc. The software requirements specification (SRs) listing for each item should contain the name (such as Microsoft Windows Operating System, Microsoft Windows Drivers, etc.), specific version levels (such as 4.1, 5.0, etc.) and a complete list of any patches that have been provided by the OTS software manufacturer.</t>
  </si>
  <si>
    <t>[[8, 77, 446, 100, 114], [8, 78, 534, 127, 141], [8, 74, 547, 153, 182], [8, 77, 549, 184, 251]]</t>
  </si>
  <si>
    <t>2d4d0556b0667a34</t>
  </si>
  <si>
    <t>27. A drug-device combination, with the device constituent part detecting ingestion of the drug component to prevent treatment failure.
Description: The product is a combination product comprised of two regulated components (drug and device). The “primary mode of action*6 is the drug component, provided as a tablet. The device constituent part detects ingestion of the tablet component to monitor adherence to the drug regimen. A missed dose greatly increases the likelihood of treatment failure for a life-threatening condition. The device constituent part includes hardware (sensors) and software (signal processing).
Rationale: A failure or latent flaw of the device software function(s), such as a false detection of tablet ingestion, would present a hazardous situation with a probable risk of death or serious injury to either a patient (through worsening of the life-threatening disease), user of the device, or others in the environment of use, prior to the implementation of risk control measures.
Outcome: Enhanced Documentation Level
ContainsNonbindingRecommendations
Appendix B: System and Software Architecture Diagram Examples
The three example diagrams below are simplified for the purpose of demonstrating how the considerations described in Section VI.E (System and Software Architecture Diagram) could be implemented into diagrams that facilitate a clear understanding of the system and software. Each diagram is supported by descriptive text and a brief discussion on notable features. The examples are intended for illustration purposes only and do not describe a complete and comprehensive system and software architecture diagram.
The illustrative diagrams are based on the following distinct example devices:</t>
  </si>
  <si>
    <t>[[42, 89, 523, 246, 272], [42, 142, 530, 284, 383], [42, 142, 528, 395, 466], [42, 144, 352, 480, 491], [43, 205, 406, 37, 51], [43, 73, 508, 82, 118], [43, 69, 539, 125, 212], [43, 71, 445, 222, 236]]</t>
  </si>
  <si>
    <t>016ab1b4b81eb6e8</t>
  </si>
  <si>
    <t># DOC010 FDA Cybersecurity in Medical Devices (2026) - Part 7
&gt; Source pages 49-56 of the official PDF. Page-preserving RAGFlow ingestion part.
## Source page 51
Appendix 2. Submission Documentation for Security
Architecture Flows
In premarket submissions, FDA recommends that manufacturers provide detailed information for
the views identified in Section V.B.2. Methods for providing the views and the recommendations
for the level of detail to provide are discussed in the sections below. In addition to diagrams and
explanatory text, call-flow views can be provided to convey some of the information details
expected to be addressed in the architecture views.
A. Diagrams
FDA recommends that manufacturers provide diagrams to help describe the medical device
system architecture, interfaces, communication protocols, threats, and cybersecurity controls
used throughout the system. Different diagramming methods can be used to describe the
architecture, including data flow diagrams, state diagrams, swim-lane diagrams, and call-flow
diagrams, among others. Architecture views should include diagram(s) with explanatory text that
describes the sequence of process or protocol steps in explicit detail for an associated use case.
Architecture views should provide specific protocol details of the communication pathways
between parts of the medical device system, to include authentication or authorization
procedures and session management techniques. These views should be sufficiently detailed such
that engineers and reviewers should be able to logically and easily follow data, code, and
commands from any asset (e.g., a manufacturer server) to any other associated asset (e.g., a
medical device), while possibly crossing intermediate assets (e.g., application). The diagrams
may also include items from the information details identified below for the architecture views
identified in Section V.B.2 if the information is better represented or conveyed through a
diagram than explanatory text alone.
B. Information Details for an Architecture View
For each view described in Section V.B.2, manufacturers should provide a system-level
description and analysis inclusive of end-to-end security analyses of all the communications in
the medical device system regardless of intended use. This should include detailed diagrams and
traces for all communication paths as described below. Security-relevant analysis requires the
ability to construct and follow a detailed trace for important communication paths, which
describes how data, code, and commands are protected between any two assets in the medical
device system. This analysis can also help identify the software that should be included in the
SBOM for each device.
FDA recommends that security architecture views should consider the following examples of
information for inclusion:
· Detailed diagrams and supporting explanatory text that identify all medical device system
assets, including but not limited to:
· Device hardware itself (including assessments for any commercial platforms);</t>
  </si>
  <si>
    <t>0f8faba74145612d</t>
  </si>
  <si>
    <t>..20
System and Software Architecture Diagram...
Software Design Specification (SDS).
F.
Basic Documentation Level....</t>
  </si>
  <si>
    <t>[[4, 519, 541, 319, 332], [4, 115, 338, 321, 332], [4, 114, 301, 338, 352], [4, 82, 95, 339, 350], [4, 125, 279, 356, 370]]</t>
  </si>
  <si>
    <t>5c011341d0b8632b</t>
  </si>
  <si>
    <t xml:space="preserve">..28
Appendix B: System and Software Architecture Diagram Examples </t>
  </si>
  <si>
    <t>[[4, 519, 541, 564, 576], [4, 71, 400, 583, 597]]</t>
  </si>
  <si>
    <t>f2548a66c1a8acd6</t>
  </si>
  <si>
    <t>(1) A traumatic brain injury (TBl) eye movement assessment aid
Description: The device is a prescription device that is intended to track a patient's eye movements using a commercial OTS mobile phone and camera and analyze the tracked eye movements to aid in the assessment of mild TBI, commonly known as “concussion." The device provides a positive or negative indicator about the presence of eye movements that are consistent with mild TBI.
Example OTS Software: An OTS operating system on the mobile platform.
OTs Software Documentation: A failure or latent flaw of the device software function(s) would not present a hazardous situation with a probable risk of death or serious injury to either a patient, user of the device, or others in the environment of use, prior to the implementation of risk control measures. The device is intended for use as an aid in the assessment of mild (non- severe) injury and is not intended as a standalone diagnostic. Therefore, since the device has a Basic Documentation Level,?1 the OTS Software Documentation will follow the Basic Documentation Level in this guidance.</t>
  </si>
  <si>
    <t>[[19, 78, 480, 242, 254], [19, 77, 526, 256, 324], [19, 76, 446, 338, 354], [19, 76, 538, 367, 462]]</t>
  </si>
  <si>
    <t>0251e4314673bf9c</t>
  </si>
  <si>
    <t>14. An electric breast pump.
Description: The device is intended to be used by lactating women to express and collect milk from their breasts. The device uses a DC-powered motor driving the vacuum pump which is controlled electronically to provide a range of user- selected suction levels at specified cycle frequencies. The device display provides the user with information on the pumping mode, timer, battery level, and suction.
Rationale: A failure or latent flaw of the device software function(s) (e.g..
software fails to properly control the suction level) would not present a hazardous situation with a probable risk of death or serious injury to either a patient, user of the device, or others in the environment of use prior to the implementation of risk control measures.
Outcome: Basic Documentation Level
ContainsNonbindingRecommendations</t>
  </si>
  <si>
    <t>[[37, 89, 226, 505, 519], [37, 143, 541, 535, 603], [37, 142, 504, 613, 631], [37, 142, 538, 629, 685], [37, 144, 331, 701, 712], [38, 206, 405, 38, 50]]</t>
  </si>
  <si>
    <t>383e5c2320f8bc42</t>
  </si>
  <si>
    <t>1. What is it?
For each component of OTS software used, the following should be specified:
Title and Manufacturer of the OTS software.
Version Level, Release Date, Patch Number, and Upgrade Designation, as appropriate.
Any OTS software documentation that will be provided to the end user.
Why is this OTS software appropriate for this medical device?
What are the expected design limitations of the OTS software?
Note: The sponsor should only use the OTS software as specified in an appropriate document (i.e., design history file). If the version of the OTS software changes, the appropriate document
ContainsNonbindingRecommendations
should be updated to reflect the change.</t>
  </si>
  <si>
    <t>[[7, 77, 146, 547, 558], [7, 77, 451, 573, 587], [7, 93, 310, 603, 614], [7, 88, 513, 615, 630], [7, 92, 439, 631, 645], [7, 92, 397, 645, 661], [7, 92, 398, 660, 675], [7, 77, 535, 689, 716], [8, 215, 412, 39, 51], [8, 77, 268, 72, 86]]</t>
  </si>
  <si>
    <t>2a2d631fc5c00303</t>
  </si>
  <si>
    <t>...26
Software Version History....
I.</t>
  </si>
  <si>
    <t>[[4, 512, 541, 505, 520], [4, 113, 259, 506, 520], [4, 82, 93, 508, 519]]</t>
  </si>
  <si>
    <t>DOC010_FDA_cybersecurity_2026_part05_pages033-040.md</t>
  </si>
  <si>
    <t>8e3c22a905517b1d</t>
  </si>
  <si>
    <t>2. Changes Unlikely to Impact Cybersecurity
In general, changes unlikely to impact cybersecurity could include changes in materials,
sterilization method changes, or a change to an algorithm without change to
architecture/software structure/connectivity.
For these types of changes, FDA recommends that manufacturers of cyber devices provide the
following information to meet their premarket submission requirements in section 524B of the
FD&amp;C Act:
· 524B(b)(1)
· If not previously provided, manufacturers must provide a plan as described in
section 524B(b)(1) of the FD&amp;C Act; we recommend that it contain the
information as described in Section VII.C.1, above.
· If a plan described in Section VII.C.1, above, was previously provided, the
manufacturer should provide a reference to the prior submission and a summary
of any changes to the plan.</t>
  </si>
  <si>
    <t>1b0d67954cdfbc89</t>
  </si>
  <si>
    <t>7.3.10 (Design and Development Files) and Subclause 4.2.3 (Medical Device File) of ISO
13485.
To assist FDA’s assessment of the device risks and associated impacts on safety and
effectiveness related to cybersecurity, FDA recommends that premarket submissions include
SBOM documentation as outlined below. For cyber devices, an SBOM is required (see section
524B(b)(3) of the FD&amp;C Act and Section VII.C.3 of this guidance). SBOMs can also be an
important tool for transparency with users of potential risks as part of labeling as addressed later
in Section VI.
(b) Documentation Supporting Software Bill of Materials
FDA’s guidance document “Off-The-Shelf (OTS) Software Use in Medical Devices” describes
information that should be provided in premarket submissions for software components for
which a manufacturer cannot claim complete software lifecycle control. In addition to the
information recommended in that guidance, manufacturers should provide machine-readable
SBOMs consistent with the minimum elements (also referred to as “baseline attributes”)
identified in the October 2021 National Telecommunications and Information Administration
(NTIA) Multistakeholder Process on Software Component Transparency document “Framing
Software Component Transparency: Establishing a Common Software Bill of Materials
(SBOM).”
In addition to the minimum elements identified by NTIA, for each software component
contained within the SBOM, manufacturers should include in the premarket submission:
· The software level of support provided through monitoring and maintenance from the
software component manufacturer (e.g., the software is actively maintained, no longer
maintained, abandoned); and
· The software component’s end-of-support date.
When provided, manufacturers may choose to provide these additional elements as part of the
SBOM, or they may provide it separately, such as in an addendum. Industry-accepted formats of
SBOMs are encouraged.
If a manufacturer is unable to provide the SBOM information to FDA, the manufacturer should
provide a justification for why the information cannot be included in the premarket submission.
As part of the premarket submission, manufacturers should also identify all known
vulnerabilities associated with the device and the software components, including those
identified in CISA’s Known Exploited Vulnerabilities Catalog. For each known vulnerability,
manufacturers should describe how the vulnerabilities were discovered to demonstrate whether
the assessment methods were sufficiently robust. For components with known vulnerabilities,
device manufacturers should provide in premarket submissions:
· A safety and security risk assessment of each known vulnerability (including device and
system impacts); and
## Source page 22
· Details of applicable safety and security risk controls to address the vulnerability. If risk
controls include compensating controls, those should be described in an appropriate level
of detail.
For additional information and discussion regarding proprietary and third-party components, see
Section V.B.2, Security Architecture Views, below.</t>
  </si>
  <si>
    <t>14de21536848cdde</t>
  </si>
  <si>
    <t>27 ANSI/ISA-62443-4-1 Security for industrial automation and control systems Part 4-1: Product security
development life-cycle requirements outlines a secure product development lifecycle similar to that of the JSP2.
## Source page 15
because, given the evolving nature of cybersecurity threats and risks, no device is, or can be,
completely secure. Security risk management should be an integrated part of a manufacturer’s
entire quality management system, addressed throughout the TPLC.28 The quality management
system processes entail the technical, personnel, and management practices, among others, that
manufacturers use to manage potential risks to their devices and ensure that their devices are, and
once on the market, remain, safe and effective, which includes security.
Performing security risk management is distinct from performing safety risk management as
described in ISO 14971. The distinction in the performance of these processes is due to the fact
that in the security context versus the safety context, the scope of possible harm and the risk
assessment factors may be different. Also, while safety risk management focuses on physical
injury, damage to property or the environment, or delay and/or denial of care due to device or
system unavailability, security risk management may include risks that can result in indirect or
direct patient harm. Additionally, risks that are outside of FDA’s assessment of safety and
effectiveness, such as those related to business or reputational risks, may also exist.
The scope and objective of a security risk management process, in conjunction with other SPDF
processes (e.g., security testing), is to expose how threats, through vulnerabilities, can manifest
patient harm and other potential risks. These processes should also ensure that risk control
measures for one type of risk assessment do not inadvertently introduce new risks in the other.
For example, AAMI TIR57 and ANSI/AAMI SW96 detail how the security and safety risk
management processes should interface to ensure all risks are adequately assessed.29 FDA
recommends that security risk management processes, as detailed in the QMSR and ISO
13485,30 be established or incorporated into those that already exist, and should address the
manufacturer’s design, manufacturing, and distribution processes, as well as updates across the
TPLC. The processes in ISO 13485, as incorporated by reference in the QMSR, that may be
relevant in this context include, but are not limited to design and development (Subclause 7.3 of
ISO 13485), production processes (Subclause 7.5), and improvement (including corrective
actions and preventive actions) (Subclause 8.5) to ensure both safety and security risks are
adequately addressed. For completeness in performing risk management under Subclause 7.1,
FDA recommends that device manufacturers conduct both a safety risk assessment and a
separate, accompanying security risk assessment to ensure a more comprehensive identification
and management of patient safety risks.
A device should be designed to eliminate or mitigate known vulnerabilities. For marketed
devices, if comprehensive design mitigations are not possible, compensating controls should be
considered. For all devices, when any known vulnerabilities are only partially mitigated or
unmitigated by the device design, they should be assessed as reasonably foreseeable risks in the</t>
  </si>
  <si>
    <t>[[18, 17, 17, 17, 17]]</t>
  </si>
  <si>
    <t>83582b5bf299fdda</t>
  </si>
  <si>
    <t>30 See 21 CFR Part 820.
## Source page 16
risk assessment and be assessed for additional control measures or risk transfer31 to the
user/operator, or, if necessary, the patient. Risk transfer, if appropriate, should only occur when
all relevant risk information is known, assessed, and appropriately communicated to users and
includes risks inherited from the supply chain as well as how risk transfer will be handled when
the device or manufacturer-controlled assets of the medical device system reach end of support
and end of life and whether or how the user is able to take on that role (e.g., if the user may be a
patient).
To document the security risk management activities for a medical device system, FDA
recommends that manufacturers generate a security risk management plan and report such as that
described in AAMI TIR57 and ANSI/AAMI SW96.32 Manufacturers should include their
security risk management reports— including the outputs of their security risk management
processes— in their premarket submissions to help demonstrate the safety and effectiveness of
the device. A security risk management report, such as that described in AAMI TIR57 and
ANSI/AAMI SW96, should be sufficient to support the security risk management process aspect
of demonstrating a reasonable assurance of safety and effectiveness. Such report should include
the documentation elements for the system threat modeling, cybersecurity risk assessment,
Software Bill of Materials (SBOM), component support information, vulnerability assessments,
and unresolved anomaly assessment(s) described in the sections below.33 In the subsections
below, we discuss FDA’s recommendations regarding the scope and/or content of specific
security risk management documentation elements.
In addition to containing the documentation elements listed above, the security risk management
report should:
· Summarize the risk evaluation methods and processes;
· Detail the residual risk conclusion from the security risk assessment;
· Detail the risk mitigation activities undertaken as part of a manufacturer’s risk
management processes; and
· Provide traceability between the threat model, cybersecurity risk assessment, SBOM, and
testing documentation as discussed later in this guidance as well as other relevant
cybersecurity risk management documentation.</t>
  </si>
  <si>
    <t>[[21, 20, 20, 20, 20]]</t>
  </si>
  <si>
    <t>bc8254c8956456a2</t>
  </si>
  <si>
    <t>47 For any testing tools or software used, the details provided may include, but may not be limited to, the name of the
tool, version information as applicable, and any settings or configuration options for the tools used.
## Source page 31
For issues that will be addressed in future releases (i.e., remediation deferred for a future
software release because current risk was assessed to be acceptable), the premarket submission
should contain plans for those releases. Such plans should include the vulnerabilities that future
software releases will address, anticipated timelines for release, whether devices released in the
interim will receive those updates, and how long it will take the update to reach the devices.
There are numerous authoritative resources for outlining security testing that may partially fulfill
the testing outlined above.48
FDA recommends that cybersecurity testing should occur throughout the SPDF. Security testing
early in development can ensure that security issues are addressed prior to impacting release
timelines and can prevent the need to redesign or re-engineer the device. After release,
cybersecurity testing should be performed at regular intervals commensurate with the risk (e.g.,
annually) to ensure that potential vulnerabilities are identified and able to be addressed prior to
their ability to be exploited.
VI. Cybersecurity Transparency
Cybersecurity transparency is critical to ensure safe and effective use and integration of devices
and systems.49 This transparency can be conveyed through both device labeling and the
establishment of manufacturer vulnerability management plans. However, different types of
users (e.g., manufacturers, servicers, patients) will have different abilities to take on a mitigation
role, and the need for actions to ensure continued cybersecurity should be appropriate for the
type of user. Manufacturers of cyber devices should consider the recommendations in this
section as they “design, develop, and maintain processes and procedures to provide a reasonable
assurance that the device and related systems are cybersecure . . .” (section 524B(b)(2) of the
FD&amp;C Act; see Section VII.C.2).
A. Labeling Recommendations for Devices with
Cybersecurity Risks
FDA regulates device labeling in several ways. For example, section 502(f) of the FD&amp;C Act
requires that labeling include adequate directions for use. Under section 502(a)(1) of the FD&amp;C
Act, a medical device is deemed misbranded if its labeling is false or misleading in any
particular.</t>
  </si>
  <si>
    <t>[[7, 6, 6, 6, 6]]</t>
  </si>
  <si>
    <t>f92ec602a74ffed7</t>
  </si>
  <si>
    <t>2. Cybersecurity Risk Assessment
As a part of security risk management, security risks and controls should be assessed for residual
risks as part of a cybersecurity risk assessment. Effective security risk assessments address the
fact that cybersecurity-related failures can occur either intentionally or unintentionally.
Accordingly, cybersecurity risks are difficult to predict, meaning that it is not possible to assess</t>
  </si>
  <si>
    <t>28774fa1e11ea9c3</t>
  </si>
  <si>
    <t># DOC010 FDA Cybersecurity in Medical Devices (2026) - Part 3
&gt; Source pages 17-24 of the official PDF. Page-preserving RAGFlow ingestion part.
## Source page 17
monitor, or respond to the effects of threats to the medical device system throughout its lifecycle.
It is foundational for optimizing system, product, network, application, and connection security
when applied appropriately and comprehensively.
With respect to security risk management, and in order to identify appropriate security risks and
controls for the medical device system, FDA recommends that threat modeling be performed to
inform and support the risk analysis activities. As part of the risk assessment, FDA recommends
threat modeling be performed throughout the design process and be inclusive of all medical
device system elements.
The threat model should:
· Identify medical device system risks and mitigations as well as inform the pre- and
post-mitigation risks considered as part of the cybersecurity risk assessment;
· State any assumptions about the medical device system or environment of use (e.g.,
hospital networks are inherently hostile, therefore manufacturers are recommended to
assume that an adversary controls the network with the ability to alter, drop, and replay
packets); and
· Capture cybersecurity risks introduced through the supply chain, manufacturing,
deployment, interoperation with other devices, maintenance/update activities, and
decommission activities that might otherwise be overlooked in a traditional safety risk
assessment process.
FDA recommends that premarket submissions include threat modeling documentation to
demonstrate how the medical device system has been analyzed to identify potential security risks
that could impact safety and effectiveness. There are a number of methodologies and/or
combinations of methods for threat modeling that manufacturers may choose to use.34 Rationale
for the methodology(ies) selected should be provided with the threat modeling documentation.
Additional recommendations on how threat modeling documentation should be submitted to
FDA are discussed in Section V.B below.
Threat modeling activities can be performed and/or reviewed during design reviews. FDA
recommends that threat modeling documentation include sufficient information on threat
modeling activities performed by the manufacturer to assess and review the security features
built into the device such that they holistically evaluate the device and the system in which the
device operates, for the safety and effectiveness of the device.</t>
  </si>
  <si>
    <t>51d4a351928d2726</t>
  </si>
  <si>
    <t>5. Security Assessment of Unresolved Anomalies
FDA’s Premarket Software Guidance recommends that device manufacturers provide a list of
software anomalies that exist in a product at the time of submission. For each anomaly, FDA
recommends that device manufacturers conduct an evaluation of the anomaly’s impact on the
device’s safety and effectiveness, and consult the Premarket Software Guidance to assess the
associated documentation recommended for inclusion in such device’s premarket submission.
Some anomalies discovered during development or testing may have security implications and
may also be considered vulnerabilities. As a part of ensuring a complete security risk assessment
under Subclause 7.1 of ISO 13485, the assessment for impacts to safety and effectiveness may
include an assessment for the potential security impacts of anomalies. The assessment should
also include consideration of any present Common Weakness Enumeration (CWE) categories.39
For example, a clinical user may inadvertently reveal the presence of a previously unknown
software anomaly during normal use, where the impact of the anomaly might occur sporadically
and be assessed to be acceptable from a software risk perspective. Conversely, a threat might
seek out these types of anomalies, and identify means to exploit them in order to manifest the
anomaly’s impact continuously, which could significantly impact the acceptability of the risk
when compared to an anomaly assessment that didn’t include security considerations.
The criteria and rationales for addressing the resulting anomalies with security impacts should be
provided as part of documentation in the premarket submission.</t>
  </si>
  <si>
    <t>[[11, 10, 10, 10, 10]]</t>
  </si>
  <si>
    <t>f0950d21f1f501be</t>
  </si>
  <si>
    <t># DOC010 FDA Cybersecurity in Medical Devices (2026) - Part 7
&gt; Source pages 49-56 of the official PDF. Page-preserving RAGFlow ingestion part.
## Source page 56
Type of Premarket
Submission Documentation
Guidance
Section(s)
IDE Submission*
- Threat Model (may
include Architecture
Views)
Sections
V.A.1, V.A.3,
V.A.4, V.A.5,
V.B.2,
Appendix 1,
Appendix 2
Could be helpful to submit, but not
specifically recommended (see Architecture
View recommendations)
- Cybersecurity Risk
Assessment
Sections
V.A.2, V.A.3,
V.A.4, V.A.5,
V.A.6
Could be helpful to submit, but not
specifically recommended
- SBOM Sections
V.A.4, VI.A
Recommended
- Vulnerability
Assessment and
Software Support
Section V.A.4 Could be helpful to submit, but not
specifically recommended
- Unresolved
Anomalies
Assessment
Section V.A.5 Could be helpful to submit, but not
specifically recommended
- Traceability Sections V.A,
V.A.1, V.A.2,
V.A.3, V.A.4.
V.A.5, V.A.6,
V.B.1, V.B.2,
V.C, VI.A
Could be helpful to submit, but not
specifically recommended
Measures and Metrics Section V.A.6 Could be helpful to submit, but not
specifically recommended
Architecture Views Section V.B Recommended
· Global, Multi-patient and
Updateability/Patchability views
· Security Use Case views for
functionality with safety risks
- Requirements  Sections
V.B.1,
Appendix 1
Recommended
· Global, Multi-patient and
Updateability/Patchability views
· Security Use Case views for
functionality with safety risks
- Architecture Views
(may be included in
Threat Model)
Sections
V.A.1, V.B.2,
Appendix 1,
Appendix 2
Recommended
· Global, Multi-patient and
Updateability/Patchability views
· Security Use Case views for
functionality with safety risks
Testing Section V.C Could be helpful to submit, but not
specifically recommended</t>
  </si>
  <si>
    <t>[[8, 7, 7, 7, 7]]</t>
  </si>
  <si>
    <t>e46e1238bde7b36f</t>
  </si>
  <si>
    <t>82 For the purposes of this guidance, loss of confidential health information is generally not considered to be a direct
impact on safety and effectiveness. Although protecting the confidentiality of PHI is beyond the scope of this
document, it should be noted that manufacturers and other entities, depending on the facts and circumstances, may
be obligated to protect the confidentiality, integrity and availability of PHI throughout the product lifecycle, in
accordance with applicable federal and state laws, including the Health Insurance Portability and Accountability Act
(HIPAA). For more information on HIPAA, please see the Summary of the HIPAA Security Rule.
## Source page 48
· Implement design features that allow for security compromises and suspected
compromise attempts to be detected, recognized, logged, timed, and acted upon during
normal use. Acting upon security events should consider the benefit/risk assessment in
accordance with AAMI TIR57 or  ANSI/AAMI SW96 in determining whether it is
appropriate to affect standard device functionality during a security event.
· Ensure the design enables forensic evidence capture.83 The design should include
mechanisms to securely create and store log files off the device to track security events.
Documentation should include how and where log files are located, stored, recycled,
archived, and how they could be consumed by automated analysis software (e.g., IDS).
Examples of security events include, but are not limited to, configuration changes,
network anomalies, login attempts, and anomalous traffic (e.g., sending requests to
unknown entities).
· Design devices such that the potential impact of vulnerabilities is limited by specifying a
secure configuration. Secure configurations may include endpoint protections, such as
anti-malware, firewall/firewall rules, allow-listing, defining security event parameters,
logging parameters, physical security detection, and/or HIDS/HIPS.
· Design devices such that they may integrate and/or leverage antivirus/anti-malware
protection capabilities. These capabilities may vary depending on the type of device and
the software and hardware components it contains:
· For devices that leverage Windows Operating System:
· Antivirus/anti-malware is recommended on the device. Manufacturers are
recommended to qualify multiple options to support user preferences for
different options, especially if the device is used in healthcare facility
environments.
· For devices that leverage other Commercial Operating Systems (e.g., Ubuntu,
Unix, Linux, Apple, Android):
· Antivirus/anti-malware may be recommended based on the environment
and associated risks of the device. Different operating systems will likely
follow a case-by-case determination based on network exposure and risk.
· For devices that leverage Embedded Operating Systems (e.g., Real-Time
Operating Systems, Windows embedded):
· Antivirus/malware detection/protection software is generally not needed
unless a particular risk or threat is identified that would not be addressed
by other expected security controls.
· Design devices to enable software configuration management and permit tracking and
control of software changes to be electronically obtainable (i.e., machine readable) by
authorized users.
· Design devices to facilitate the performance of variant analyses such that the same
vulnerabilities can be identified across device models and product lines.</t>
  </si>
  <si>
    <t>DOC010_FDA_cybersecurity_2026_part01_pages001-008.md</t>
  </si>
  <si>
    <t>d32f2ad8cb9b8476</t>
  </si>
  <si>
    <t>5. Security Assessment of Unresolved Anomalies ........................................................... 18</t>
  </si>
  <si>
    <t>2b7fdb29eda1a9b9</t>
  </si>
  <si>
    <t>66 For example, a manufacturer may make updates outside of the planned reasonably justified regular cycle to
remediate an uncontrolled risk.
## Source page 38
Third, we recommend that manufacturers of cyber devices anticipate and make appropriate
updates to these plans,67 as well as to the processes and procedures discussed in Section VII.C.2
below,68 as new information becomes available, such as when new risks, threats, vulnerabilities,
assets, or adverse impacts are discovered throughout the total product lifecycle. To support such
efforts, manufacturers should also create or update appropriate documentation (e.g., threat
modeling, cybersecurity risk assessment) and maintain it throughout the device lifecycle. Doing
so will allow manufacturers to quickly identify vulnerability impacts once a device is released
and could also help satisfy the patching requirements of section 524B(b)(2)(A)-(B) of the FD&amp;C
Act.
The required plans,69 as well as the processes and procedures discussed in Section VII.C.2
below,70 also should, as appropriate, account for any differences in the risk management for
fielded devices (e.g., differences between marketed devices and devices no longer marketed but
still in use). For example, if an update is not applied automatically for all fielded devices, then
there will likely be different risk profiles for the differing software configurations of the device.
Vulnerabilities should be assessed for any differing impacts for all fielded versions to ensure
patient risks are being accurately assessed.</t>
  </si>
  <si>
    <t>26e706c7db79f42e</t>
  </si>
  <si>
    <t>6. TPLC Security Risk Management
Cybersecurity risks may continue to be identified throughout the device’s TPLC. Manufacturers
should ensure they have appropriate resources to identify, assess, and mitigate cybersecurity
vulnerabilities as they are identified throughout the supported device lifecycle.
As part of using an SPDF, manufacturers should update their security risk management
documentation as new information becomes available, such as when new threats, vulnerabilities,
assets, or adverse impacts are discovered during development and after the device is released.
When maintained throughout the device lifecycle, this documentation (e.g., threat modeling,
cybersecurity risk assessment) can be used to quickly identify vulnerability impacts once a
device is released and, when appropriate, to support timely improvement, through corrective
actions and preventive actions, described in Subclause 8.5 of ISO 13485.</t>
  </si>
  <si>
    <t>e2e4a2e7bf1fff24</t>
  </si>
  <si>
    <t>39 Examples of SW91 defect classification mapped to CWE can be found in Annex D of AAMI SW91 Classification
of Defects in Health Software. For additional information on CWE categories, see CWE Common Weakness
Enumeration.
## Source page 23
Over the service life of a device, FDA recommends that the risk management documentation
account for any differences in the risk management for fielded devices (e.g., marketed devices or
devices no longer marketed but still in use). For example, if an update is not applied
automatically for all fielded devices, then there will likely be different risk profiles for differing
software configurations of the device. FDA recommends that vulnerabilities be assessed for any
differing impacts for all fielded versions to ensure patient risks are being accurately assessed.
Additional information as to whether a new premarket submission (e.g., PMA, PMA supplement,
or 510(k)) or 21 CFR Part 806 reporting is needed based on postmarket vulnerabilities and
general postmarket cybersecurity risk management is discussed in the Postmarket Cybersecurity
Guidance.
To demonstrate the effectiveness of a manufacturer’s processes, FDA recommends that a
manufacturer track and record the measures and metrics below,40 and provide them in premarket
submissions and PMA annual reports (21 CFR 814.84), when available.41 Selecting appropriate
measures and metrics for the processes that define an SPDF is important to ensure that device
design appropriately addresses cybersecurity in compliance with the QMSR. At a minimum,
FDA recommends tracking the following measures and metrics, or those that provide equivalent
information:
· Percentage of identified vulnerabilities that are updated or patched (defect density);
· Duration from vulnerability identification to when it is updated or patched; and
· Duration from when an update or patch is available to complete implementation in
devices deployed in the field, to the extent known.
Averages of the above measures should be provided if multiple vulnerabilities are identified and
addressed. These averages may be provided over multiple time frames based on volume or in
response to process or procedure changes to increase efficiencies of these measures over time.
B. Security Architecture
Manufacturers are responsible for identifying cybersecurity risks in their devices and the systems
in which they expect those devices to operate, and implementing the appropriate controls to
mitigate those risks. These risks may include those introduced by device reliance on hospital
networks, cloud infrastructure, or “other functions” (as defined in FDA’s guidance “Multiple
Function Device Products: Policy and Considerations”), for example. A security architecture,
like a system architecture, defines the system and all end-to-end connections into and/or out of
the system. A security architecture definition process42 includes both high-level definitions of the</t>
  </si>
  <si>
    <t>[[13, 12, 12, 12, 12]]</t>
  </si>
  <si>
    <t>610e007b6701531b</t>
  </si>
  <si>
    <t>29 AAMI TIR57 Principles for medical device security— Risk management describes the security risk management
process and how the security risk management process should have links into the safety risk management process
and vice versa. ANSI/AAMI SW96 Standard for medical device security - Security risk management for device
manufacturers (https://doi.org/10.2345/9781570208621.ch1) describes specific requirements for managing security
related risk across the total product life cycle utilizing the risk management framework defined by ISO 14971
Medical devices - Applications of risk management to medical devices.</t>
  </si>
  <si>
    <t>[[20, 19, 19, 19, 19]]</t>
  </si>
  <si>
    <t>875e939f47c6a791</t>
  </si>
  <si>
    <t>35 The use of “component” in this guidance is consistent with the definition in 21 CFR 820.3.
## Source page 20
and the software supply chain may help demonstrate that manufacturers have adequately ensured
such compliance and documented such history.
Software is updated over time to provide additional features, address security concerns, and
otherwise be maintained. These changes may introduce new considerations or risks that must be
accounted for as part of risk management. As a result, device manufacturers should establish and
maintain custodial control of device source code (the original “copy” of the software) throughout
the lifecycle of a device as part of configuration management.36 This may be accomplished
through different methods, such as source code escrow or source code backups, among others.37
Manufacturers may not have control of source code due to licensing restrictions, terms of
supplier agreements, or other challenges. While source code is not required to be provided in
premarket submissions, manufacturers should include plans for how third-party software
components could be updated or replaced if support ends or other software issues arise in
premarket submissions. The device manufacturer should also provide users with whatever
information they may need in the device labeling to allow them to manage risks associated with
the software components, including known vulnerabilities, configuration specifications, and
other relevant security and risk management considerations.
One tool to help manage supply chain risk as well as clearly identify and track the software
incorporated into a device is an SBOM, as described below.
(a) Software Bill of Materials (SBOM)
An SBOM can aid in the management of cybersecurity risks that exist throughout the software
stack. A robust SBOM includes both the device manufacturer-developed components and third-
party components, including purchased/licensed software and open-source software, and the
upstream software dependencies that are required/depended upon by proprietary,
purchased/licensed, and open-source software.
An SBOM helps facilitate risk management processes by providing a mechanism to identify
devices and the systems in which they operate that might be affected by vulnerabilities in the
software components, both during development when software is being chosen as a component
and after it has been placed into the market throughout all other phases of a product’s life.38
Because vulnerability management is a critical part of a device’s security risk management
processes, an SBOM or an equivalent capability should be maintained as part of the device’s
configuration management, be regularly updated to reflect any changes to the software in
marketed devices, and should support documentation, such as the types detailed in Subclause</t>
  </si>
  <si>
    <t>c29c61c3aebe43a3</t>
  </si>
  <si>
    <t># DOC010 FDA Cybersecurity in Medical Devices (2026) - Part 5
&gt; Source pages 33-40 of the official PDF. Page-preserving RAGFlow ingestion part.
## Source page 33
encryption interfaces). Where appropriate, such guidance should include technical
instructions to permit secure network deployment and servicing, and instructions for
users on how to respond upon detection of a cybersecurity vulnerability or incident.
· An SBOM as specified in Section V.A.4 or in accordance with an industry accepted
format to effectively manage their assets, to understand the potential impact of identified
vulnerabilities to the medical device system, and to deploy countermeasures to maintain
the device’s safety and effectiveness. Manufacturers should provide or make available
SBOM information to users on a continuous basis. If an online portal is used,
manufacturers should ensure that users have up-to-date links that contain accurate
information. The SBOM should be in a machine-readable format.
· A description of systematic procedures for users to download version-identifiable
manufacturer-authorized software and firmware, including a description of how users
will know when software is available.
· A description of how the design enables the device to respond when anomalous
conditions are detected (i.e., security events). This should include notification to the user
and logging of relevant information. Security event types could be configuration changes,
network anomalies, login attempts, or anomalous traffic (e.g., send requests to unknown
entities).
· A high-level description of the device features that protect critical functionality (e.g.,
backup mode, disabling ports/communications).
· A description of backup and restore features and procedures to restore authenticated
configurations.
· A description of methods for retention and recovery of device configuration by an
authenticated authorized user.
· A description of the secure configuration of shipped devices, instructions for user-
configurable changes, and identification of user-configurable changes that could increase
security risk for the medical device system. Secure configurations may include end point
protections such as anti-malware, firewall/firewall rules, allow lists, deny lists, security
event parameters, logging parameters, and physical security detection, and resetting of
credentials, among others.
· Where appropriate for the intended use environment, a description of how forensic
evidence is captured, including but not limited to any log files kept for a security event.
Log file descriptions should include how, where, and in what format the log file is
located, stored, recycled, archived, and how it could be consumed by automated analysis
software (e.g., Intrusion Detection System (IDS) or Security Information and Event
Management (SIEM)).
· Information, if known or anticipated, concerning device cybersecurity (including
components) end of support and end of life. At the end of support, a manufacturer may no
longer be able to reasonably provide security patches or software updates. If the device
remains in service following the end of support, the manufacturer should have a pre-
established and pre-communicated process for transferring the risks highlighting that the
cybersecurity risks for end-users can be expected to increase over time.
· Information on securely decommissioning devices by sanitizing the product of sensitive,
confidential, and proprietary data and software.
## Source page 34
A revision-controlled, Manufacturer Disclosure Statement for Medical Device Security (MDS2)
and Customer Security Documentation as outlined in the Medical Device and Health IT Joint
Security Plan version 2 (JSP2) may address a number of the above recommendations.
B. Cybersecurity Management Plans
Recognizing that cybersecurity risks evolve as technology evolves throughout a device’s TPLC,
FDA recommends that manufacturers establish a plan for how they will identify and
communicate to the relevant parties the vulnerabilities that are identified after releasing the
device in accordance with Subclause 8.4 and Subclause 8.5 of ISO 13485, and 21 CFR Part 806,
as appropriate. This plan can also support security risk management processes that are described
throughout the QMSR and ISO 13485, as incorporated by reference in the QMSR.
FDA recommends that manufacturers submit their cybersecurity management plans as part of
their premarket submissions so that FDA can assess whether the manufacturer has sufficiently
addressed how to maintain the safety and effectiveness of the device after marketing
authorization is achieved. For cyber devices, “a plan to monitor, identify, and address, as
appropriate, in a reasonable time, postmarket cybersecurity vulnerabilities and exploits,
including coordinated vulnerability disclosure and related procedures” is required (see section
524B(b)(1) of the FD&amp;C Act and Section VII.C.1 of this guidance).
Cybersecurity management plans should include the following elements:
· Personnel responsible;
· Sources, methods, and frequency for monitoring and identifying vulnerabilities (e.g.,
researchers, NIST national vulnerability database (NIST NVD), third-party software
manufacturers);
· Identify and address vulnerabilities identified in CISA’sKnown Exploited Vulnerabilities
Catalog;
· Periodic security testing;
· Timeline to develop and release patches;
· Update processes;
· Patching capability (i.e., rate at which update can be delivered to devices);
· Description of their coordinated vulnerability disclosure process; and
· Description of how the manufacturer intends to communicate forthcoming remediations,
patches, and updates to customers.
Additional recommendations on coordinated vulnerability disclosure plans may be found in
FDA’sPostmarket Cybersecurity Guidance.
VII. Cyber Devices
This section identifies the cybersecurity information FDA considers to generally be necessary to
support obligations under section 524B of the FD&amp;C Act for cyber devices. This section
provides recommendations specifically for cyber devices. Manufacturers of cyber devices should
also consider the recommendations throughout this guidance to help meet their obligations under
section 524B.
## Source page 35
A. Who is Required to Comply with Section 524B of the
FD&amp;C Act
Under section 524B(a) of the FD&amp;C Act, a person, including a manufacturer,53 who submits a
premarket application or submission under any of the following pathways— 510(k),54 PMA,55
PDP, De Novo, or HDE56— for a device that meets the definition of a “cyber device,” as defined
in section 524B(c), is required to include such information as FDA may require to ensure that the
cyber device meets the cybersecurity requirements under section 524B(b).
B. Devices Subject to Section 524B of the FD&amp;C Act
Section 524B of the FD&amp;C Act and its requirements apply to “cyber devices.” Section 524B(c)
defines a “cyber device” as a device that meets all of the following criteria “(1) includes software
validated, installed, or authorized by the sponsor as a device or in a device; (2) has the ability to
connect to the internet; and (3) contains any such technological characteristics validated,
installed, or authorized by the sponsor that could be vulnerable to cybersecurity threats.”
Informed in part by the definitions recognized by NIST for the term “software,” FDA considers a
“cyber device” to include devices that are or contain software, including software that is
firmware or programmable logic.57 FDA also considers the “ability to connect to the internet” to
include devices that are able to connect to the internet, whether intentionally or unintentionally,
through any means (including at any point identified in the evaluation of the threat surface58 of
the device and the environment of use). It is well-demonstrated that if a device has the ability to
connect to the Internet, it is possible that it can be connected to the Internet, regardless of
whether such connectivity was intended by the device sponsor.59</t>
  </si>
  <si>
    <t>f7f346c1cfe1edb0</t>
  </si>
  <si>
    <t># DOC010 FDA Cybersecurity in Medical Devices (2026) - Part 8
&gt; Source pages 57-64 of the official PDF. Page-preserving RAGFlow ingestion part.
## Source page 57
Type of Premarket
Submission Documentation
Guidance
Section(s)
IDE Submission*
Labeling Section VI.A Recommended
· Informed Consent Form to include
cybersecurity risks
· General Cybersecurity Labeling -
Connectivity and associated general
cybersecurity risks,
updateability/process
Cybersecurity Management
Plans
Section VI.B Could be helpful to submit, but not
specifically recommended
*For the purposes of this table, “recommended” refers to the elements of an IDE submission
FDA discusses in Appendix 3 of this document; “could be helpful to submit, but not specifically
recommended” refers to additional elements that could be helpful to FDA if submitted, but are
not specifically recommended in Appendix 3. If a device-specific guidance contains additional or
different recommendations to those in this table, the device-specific recommendations should be
followed. If a manufacturer is unsure, they should utilize the FDA Q-submission process.
## Source page 58
Appendix 5. Terminology
The terminology listed here are for the purposes of this guidance and are intended for use in the
context of assessing medical device cybersecurity. These terms are not intended to be applied in
any context beyond this guidance.
Anomaly – any condition that deviates from the expected behavior based on user needs,
requirements, specifications, design documents, or standards.
Asset – anything that has value to an individual or an organization.85
Attack Surface Analysis – evaluation of attack surface to determine all avenues of ingress and
egress to and from a system including common vulnerabilities and exposed ports and services.86
Authentication – the act of verifying the identity of a user, process, or device as a prerequisite to
allowing access to the device, its data, information, or systems, or provision of assurance that a
claimed characteristic of an entity is correct.87
Authenticity – information, hardware, or software having the property of being genuine and
being able to be verified and trusted; confidence that the contents of a message originate from the
expected party and has not been modified during transmission or storage.88
Authorization – the right or a permission that is granted to a system entity to access a system
resource.89
Availability – the property of data, information, and information systems to be accessible and
usable on a timely basis in the expected manner (i.e., the assurance that information will be
available when needed).90
Boundary Analysis – the process of uniquely assigning information resources to an information
system, which defines the security boundary for that system.91
Closed Box Testing – a method of software testing that examines the functionality of an
application without peering into its internal structures of workings.92</t>
  </si>
  <si>
    <t>372b6cbdb4336165</t>
  </si>
  <si>
    <t># DOC010 FDA Cybersecurity in Medical Devices (2026) - Part 7
&gt; Source pages 49-56 of the official PDF. Page-preserving RAGFlow ingestion part.
## Source page 55
Appendix 4. General Premarket Submission Documentation
Elements and Scaling with Risk
As stated in Section IV.D and throughout the guidance, device cybersecurity design and
documentation are expected to scale with the cybersecurity risk of that device. While
documentation breadth is expected to scale, each type of documentation identified throughout the
guidance is recommended for all premarket submissions for devices with potential cybersecurity
risks. As mentioned previously, the submission documentation recommendations in this
guidance are intended to help manufacturers meet their obligations for cyber devices under
section 524B of the FD&amp;C Act.
Table 1 below summarizes the specific documentation elements identified throughout the
guidance for premarket submissions, the associated sections of the guidance for the document,
and whether the documentation is recommended for IDE submissions. While documentation
elements are identified for the security risk management report, manufacturers can provide the
documentation elements in a way that is consistent with their existing documentation processes.
This table is not intended to serve as merely a deliverable checklist, as the processes outlined
throughout the guidance are intended to help align generation of these documents and their
resultant content with FDA’s recommendations. This table represents one possible way to
organize the recommended information.
The below documentation will naturally scale with the level of cybersecurity risk. This will be
most evident in the breadth of the Threat Modeling and Architecture Views documentation.
· For example, a device with either only one hardware connection (e.g., USB port) or a
SaMD product with limited other software dependencies and connectivity will likely only
need to have single architecture view for each of the global system, multi-patient harm,
and updateability/patchability views; the security use case view(s) will likely be limited
to a smaller subset of unique views to address the available connectivity and software.
· For a device with greater complexities such as, but not limited to, networking, wireless
connections, cloud, and/or commercial operating systems, multiple architecture views
may be needed for the multi-patient harm and updateability/patchability views as there
may be multiple ways to cause multi-patient harm or update elements of the device.
Additionally, many security use case views will likely be needed to convey the various
unique security and clinical use cases throughout the architecture.
Table 1. Recommended Premarket Submission Documentation
Type of Premarket
Submission Documentation
Guidance
Section(s)
IDE Submission*
Cybersecurity Risk
Management Report
Sections V,
VI.B
Could be helpful to submit, but not
specifically recommended</t>
  </si>
  <si>
    <t>4ee97167de71f471</t>
  </si>
  <si>
    <t># DOC010 FDA Cybersecurity in Medical Devices (2026) - Part 7
&gt; Source pages 49-56 of the official PDF. Page-preserving RAGFlow ingestion part.
## Source page 54
Appendix 3. Submission Documentation for Investigational
Device Exemptions
FDA understands the need to balance innovation and security in designs especially during
clinical trials. In order to ensure security is addressed early in the device design, FDA has
identified a subset of the documentation recommended throughout this guidance to submit with
IDE applications.
Under 21 CFR 812.25, manufacturers must provide an investigational plan as a part of their IDE
application. For investigational devices within the scope of this guidance, FDA recommends that
this investigational plan include information on the cybersecurity of the subject device.
Specifically, FDA recommends the following documentation be included as part of IDE
applications:
· Inclusion of cybersecurity risks as part of informed consent form (21 CFR 50.25(a)(2)
and 21 CFR 812.25(g));
· Global, multi-patient and updateability/patchability views (21 CFR 812.25(c), (d));
· Security use case views for functionality with safety risks (e.g., implant programming)
(21 CFR 812.25(c), (d));
· Software Bill of Materials (21 CFR 812.25(c), (d)); and
· General labeling – connectivity and associated general cybersecurity risks,
updateability/process (21 CFR 812.25(f)).
FDA intends to review this information in the context of the overall benefit-risk assessment of
investigational devices as outlined in FDA’s guidance “Factors to Consider When Making
Benefit-Risk Determinations for Medical Device Investigational Device Exemptions.” Therefore,
approval of an IDE based on the documentation recommended above does not preclude the
possibility of future cybersecurity questions or concerns being raised during review of a
subsequent marketing application. This is, in part, due to the understanding that design changes
may be needed and the temporal nature of cybersecurity. Cybersecurity improvements will likely
be needed between the time of clinical trials and when the device is submitted for marketing
authorization (e.g., operating system no longer supported or nearing end of support, third-party
software updates).</t>
  </si>
  <si>
    <t>ead5b798d89f3c6c</t>
  </si>
  <si>
    <t>62 For the purposes of this guidance, manufacturer procedures to carry out disclosures of the vulnerabilities and
exploits may include procedures to inform device users, customers, patients, and other relevant healthcare parties.
## Source page 37
Second, plans required by section 524B(b)(1) of the FD&amp;C Act should also describe the
timeline, with associated justifications, to develop and release required updates and patches:
· Section 524B(b)(2)(A) of the FD&amp;C Act requires manufacturers of cyber devices to
make available updates and patches63 to the device and related systems64 for known
unacceptable vulnerabilities, with these updates and patches made available on a
reasonably justified regular cycle.65
· A “known unacceptable vulnerability” in section 524B(b)(2)(A) contrasts with a
“critical vulnerability that could cause uncontrolled risks” in section
524B(b)(2)(B). A known unacceptable vulnerability could include a vulnerability
that could not cause uncontrolled risks; a vulnerability that is not currently known
to cause uncontrolled risks; or a vulnerability that could present controlled risk, as
described in FDA’s Postmarket Cybersecurity Guidance. Updates and/or patches
to address these vulnerabilities may be intended to maintain the supportability of
software. Generally, software should be regularly updated to maintain the
supportability of the software. For examples of vulnerabilities associated with
controlled risk, see the Postmarket Cybersecurity Guidance. Updates and patches
to address these types of vulnerabilities are not to reduce uncontrolled risk, and
therefore not to reduce a risk to health or to correct a violation of the FD&amp;C Act.
See below for more information on section 524B(b)(2)(B) of the FD&amp;C Act.
· Section 524B(b)(2)(B) of the FD&amp;C Act requires manufacturers of cyber devices to make
available updates and patches to the device and related systems to address as soon as
possible out of cycle,66 critical vulnerabilities that could cause uncontrolled risks.
· In general, this includes vulnerabilities that could cause uncontrolled risks, as
described in FDA’s Postmarket Cybersecurity Guidance. For examples of
vulnerabilities associated with uncontrolled risks, see the Postmarket
Cybersecurity Guidance.</t>
  </si>
  <si>
    <t>1f176f71cfbe5115</t>
  </si>
  <si>
    <t>73 Section 524B(b)(2)(B) of the FD&amp;C Act requires manufacturers to make available postmarket updates and
patches to the cyber device and related systems to address, as soon as possible out of cycle, critical vulnerabilities
that could cause uncontrolled risks, among other requirements. See Section VII.C.1 for more information on “critical
vulnerabilities that could cause uncontrolled risks.”</t>
  </si>
  <si>
    <t>[[27, 26, 26, 26, 26]]</t>
  </si>
  <si>
    <t>3b8a44829b9ac6de</t>
  </si>
  <si>
    <t>19 See Subclause 7.3 of ISO 13485.
## Source page 11
the device when connectivity-based features are added after marketing and distribution, or when
vulnerabilities resulting in uncontrolled risks are discovered. An SPDF can be integrated with
existing processes for product and software development, risk management, and the quality
management system at large.
Using an SPDF is one approach to help ensure that the QMSR is met. Because of its benefits in
helping comply with the QMSR and cybersecurity, FDA encourages manufacturers to use an
SPDF, but other approaches might also satisfy the QMSR.
B. Designing for Security
When reviewing premarket submissions, FDA intends to assess device cybersecurity based on a
number of factors, including, but not limited to, the device’s ability to provide and implement the
security objectives below throughout the device architecture. The security objectives below
generally may apply broadly to devices within the scope of this guidance, including, but not
limited to, devices containing artificial intelligence (AI) and cloud-based services.
Security Objectives:
· Authenticity, which includes integrity;
· Authorization;
· Availability;
· Confidentiality; and
· Secure and timely updatability and patchability.
Premarket submissions should include information that describes how the above security
objectives are addressed by and integrated into the device design. The extent to which security
requirements, architecture, supply chain, and implementation are needed to meet these objectives
will depend on but may not be limited to:
· The device’s intended use, indications for use, and reasonably foreseeable misuse;
· The presence and functionality of its electronic data interfaces;
· Its intended and actual environment of use;20
· The risks presented by cybersecurity vulnerabilities;
· The exploitability of the vulnerabilities; and
· The risk of patient harm due to vulnerability exploitation.
SPDF processes aim to reduce the number and severity of vulnerabilities and thereby reduce the
exploitability of a medical device system and the associated risk of patient harm. Because
exploitation of known vulnerabilities or weak cybersecurity controls should be considered
reasonably foreseeable failure modes for medical device systems, these factors should be
addressed in the device design.21 One of the key benefits of using an SPDF is that a medical</t>
  </si>
  <si>
    <t>64947039ed9e0d7b</t>
  </si>
  <si>
    <t>72 For more information on FDA’s least burdensome provisions, see FDA’s guidance “The Least Burdensome
Provisions: Concept and Principles.”
## Source page 40
· 524B(b)(2)
· Instead of the full documentation described as required or recommended in
Section VII.C.2, above, manufacturers may provide the following information:
o Description of whether there are currently any “critical vulnerabilities
that could cause uncontrolled risks.”73
o Description of whether any vulnerabilities with uncontrolled risk were
remediated in the device since the last authorization. If so,
manufacturers should describe how remediation was performed
following the recommendations in FDA’s Postmarket Cybersecurity
Guidance.
· 524B(b)(3)
· Section 524B(b)(3) of the FD&amp;C Act requires manufacturers of cyber devices to
provide an SBOM, including commercial, open-source, and off-the-shelf software
components. To assist with complying with this requirement, we recommend that
a manufacturer of a cyber device provide an SBOM that contains the information
recommended in Section V.A.4.b above.
In general, in its cybersecurity review, FDA intends to focus substantive review on modifications
to cybersecurity controls or modifications that are likely to affect cybersecurity. However,
regardless of the type of change being proposed to the device in the premarket submission, FDA
intends to take into account known cybersecurity concerns that are applicable to such device
when conducting its premarket reviews and in determining whether the device has a reasonable
assurance of cybersecurity.
E. Reasonable Assurance of Cybersecurity of Cyber
Devices
Section 3305(c) of FDORA provides that nothing in section 524B of the FD&amp;C Act “shall be
construed to affect the Secretary’s authority related to ensuring that there is a reasonable
assurance of the safety and effectiveness of devices, which may include ensuring that there is a
reasonable assurance of the cybersecurity of certain cyber devices . . .” FDA interprets this
provision to mean that a “reasonable assurance of cybersecurity” can be part of FDA’s
determination of a device’s safety and effectiveness. Moreover, a determination that there is a
reasonable assurance of cybersecurity is relevant to the various premarket pathways and
authorization under them, specifically, FDA’s review of a 510(k), PMA, PDP, De Novo, and
HDE. With the exponential growth of interconnected devices on the market over the past few
years (see Section I), ensuring cybersecurity has become essential to FDA’s ability to protect the
public health and provide reasonable assurance of safety and effectiveness of devices.
When evaluating a 510(k) submission, FDA considers changes to the environment of use (e.g.,
changes in technology the subject device will interact with or operate within, and any new risks</t>
  </si>
  <si>
    <t>[[26, 25, 25, 25, 25]]</t>
  </si>
  <si>
    <t>f4eddb5113671e9a</t>
  </si>
  <si>
    <t>1. Provide assurance to the FDA that the product development methodologies used by the OTS software developer are appropriate and sufficient for the intended use of the OTS software within the specific medical device. For example, this may include a review of the OTS software developer's design and development methodologies used in the construction of the OTS software. This review should thoroughly assess the development and qualification documentation generated for the OTS software. If such an assurance is not possible, and if the residual risk evaluation of the hazardous situation after implemented risk control measures is not acceptable as defined in the risk management plan, the use of such OTS software may not be appropriate for the intended medical device application.</t>
  </si>
  <si>
    <t>[[10, 94, 549, 408, 533]]</t>
  </si>
  <si>
    <t>6cb892c099559274</t>
  </si>
  <si>
    <t>2. Demonstrate the existence of appropriate mechanisms for assuring the continued performance, maintenance and support of the OTS software should the original OTS software developer either make changes to the OTS software and/or terminate their support of the OTS software.
IV. OTS Software in Marketing Applications
The following recommendations are made available to help sponsors consider the use of OTS software as it relates to existing regulatory mechanisms and pathways.
ContainsNonbindingRecommendations
A. Master Files for Devices (MAFs)
Much of the information regarding development and validation of OTS software may not be readily available to the medical device manufacturer who wishes to use the OTS software as a device component. Commercial OTS software vendors who wish to make their OTS software available for use in medical devices, but do not want to share the confidential and/or proprietary details of their software development and validation with customers (medical device manufacturers), may direct the information in a device master file to the FDA. For more information on Master Files for Devices, please refer to the FDA Master File website.18
B. OTS Software Changes requiring a 51o(k)
The conditions under which a new or changed medical device including OTS software will require a new 510(k) are the same as for a device not involving OTS software. The decision as to whether a new 51o(k) is required depends on the intended use of the device; the function of the OTS software; and to what extent the risks due to OTS software have been mitigated.
These conditions are given in the FDA guidances, “Deciding When to Submit a 51o(k) for a Change to an Existing Device,*19 and *Deciding When to Submit a 510(k) for a Software Change to an Existing Device. ,20
C. Investigational Device Exemption and Changes to OTs Software
The requirements for an investigational device exemption (IDE) are the same whether or not the medical device contains OTS software. The OTS software may be a component of a medical device or the OTS software may be the entire medical device, e.g., diagnostic software. The conditions that would require submission of an IDE are specified in section 21 CFR 812 and generally include changes to OTS software during an IDE study that would affect the patient population for which the medical device is intended; conditions of use of the device (including those recommended or suggested in the labeling or advertising; the probable benefit from the use of the device weighed against any probable injury or illness from such use); or the reliability of the medical device.21
Some specific issues related to OTS software might include initial (beta) testing of an OTS software medical device in clinical studies. Such a study must comply with applicable IDE requirements.22 For non-significant risk medical devices, that includes approval by an
ContainsNonbindingRecommendations
institutional review board (IRB) and patient informed consent. For significant risk studies, the initial user testing (beta testing) protocol would be included in an IDE submission. For example, beta testing of radiation treatment planning software, including any OTS software modules, would be conducted under a full IDE with FDA approval as a prerequisite. See the guidance on “Significant Risk and Nonsignificant Risk Medical Device Studies*23 for more information.
D. Premarket Approval and OTs Software
The criteria and requirements for premarket approval (PMA) applications are discussed in section 21 CFR 814. When a manufacturer submits a PMA submission for a medical device, there must be valid scientific evidence (including clinical evidence, if needed) to support a reasonable assurance of safety and effectiveness of the device.24
The OTS software used in a medical device is evaluated in the context of the overall medical device. The extent to which the medical device manufacturer ensures that the OTS software was developed using appropriate life cycle control depends upon the overall risk of the medical device, the role of the OTS software, and the probable risk of death or serious injury,"? either to a patient, user of the device, or others in the environment of use, associated with possible failures or flaw of the OTS software component.26
E. Product Labeling
FDA recommends that the user's manual specify the version(s) of the OTS software that can be used with the medical device. Such specification would not be needed for embedded software (i.e., the user does not select the OTs software and cannot change the software provided by the medical device manufacturer).
The user's manual should contain appropriate warnings to the user indicating that the use of any software other than those specified will violate the safety, effectiveness, and design controls of the medical device and that such use may result in an increased risk to users and patients. For more information on medical device labeling, please see FDA website “Device Labeling*27 as well as relevant guidance documents titled “Device Labeling Guidance #G91-1 (Blue Book Memo)" 28 and Labeling - Regulatory Requirements for Medical Devices (FDA 89-4203).29</t>
  </si>
  <si>
    <t>[[10, 94, 519, 539, 595], [10, 94, 439, 610, 627], [10, 77, 526, 644, 671], [11, 214, 412, 38, 50], [11, 123, 395, 95, 109], [11, 75, 528, 127, 227], [11, 122, 470, 245, 261], [11, 76, 533, 279, 331], [11, 76, 519, 334, 368], [11, 122, 527, 395, 431], [11, 75, 532, 448, 575], [11, 75, 514, 573, 615], [12, 215, 412, 38, 50], [12, 76, 529, 74, 154], [12, 122, 455, 164, 180], [12, 76, 518, 196, 253], [12, 76, 537, 265, 349], [12, 120, 289, 360, 380], [12, 78, 534, 396, 449], [12, 74, 540, 462, 548]]</t>
  </si>
  <si>
    <t>da661fca9c9efd7a</t>
  </si>
  <si>
    <t>9 D. Assurance of Development Methodologies and Continued Maintenance of OTS Software 10 .10 IV. OTS Software in Marketing Applications .</t>
  </si>
  <si>
    <t>[[3, 90, 553, 231, 279]]</t>
  </si>
  <si>
    <t>DOC012 YYT 0664—2020.md</t>
  </si>
  <si>
    <t>d3809ee2ca537a21</t>
  </si>
  <si>
    <t>---
document_id: STD002
standard_number: "YY/T 0664-2020"
title: "医疗器械软件 软件生存周期过程"
english_title: "Medical device software - Software life cycle processes"
adopted_standard: "IEC 62304:2015, MOD"
source_type: "中华人民共和国医药行业标准扫描件"
language: "zh-CN"
transcription_method: "逐页对照原PDF扫描图人工转录与校对"
transcription_batch: "第1批"
source_pdf_pages: "1-16 / 64"
covered_content: "封面、目录、前言、引言、第1章至第4章、5.1.1至5.1.4"
status: "第一轮结构化转录校对版"
recommended_parser: "Markdown"
---
# YY/T 0664-2020 医疗器械软件 软件生存周期过程
**英文名称：** Medical device software - Software life cycle processes  
**采用关系：** IEC 62304:2015，MOD  
**代替标准：** YY/T 0664-2008  
**发布日期：** 2020-09-27  
**实施日期：** 2021-09-01  
**发布部门：** 国家药品监督管理局  
&gt; 本文件为逐页对照扫描原图重新转录的第一批校对稿，不沿用旧版Markdown中的乱码内容。本批覆盖原PDF第1-16页。正文中的标题层级、条款号、术语中英文、列表和软件安全级别标记已按原图重建。正式合规引用仍应回看原PDF相应页面。
&lt;!-- source_pdf_page: 1 --&gt;
## 封面信息</t>
  </si>
  <si>
    <t>f4d30da4f3d611ef</t>
  </si>
  <si>
    <t>- ICS 11.040.01；35.240.80
- CCS C 30
- 中华人民共和国医药行业标准
- YY/T 0664-2020
- 代替YY/T 0664-2008
- 医疗器械软件 软件生存周期过程
- Medical device software - Software life cycle processes
- （IEC 62304:2015，MOD）
&lt;!-- source_pdf_page: 2 --&gt;
# 目次</t>
  </si>
  <si>
    <t>c70143f58a8cccbe</t>
  </si>
  <si>
    <t>## 3.11 医疗器械软件 medical device software
旨在集成到正在开发的医疗器械中的已开发的软件系统，或者预期作为医疗器械使用的软件系统。
## 3.12 问题报告 problem report
使用者或其他利益相关人员认为对预期使用不安全、不适当或违反规范的医疗器械软件实际或潜在特性的记录。
**注1：** 本标准不要求每个问题报告都引起对医疗器械软件的变更。制造商可拒绝误导性的、误判的或无关紧要事件的问题报告。
**注2：** 问题报告可能与已发布的医疗器械软件或仍在开发中的医疗器械软件有关。
**注3：** 本标准要求制造商对涉及已发布产品的问题报告实施额外的决策步骤（见第6章），以确保监管措施的识别和实施。
## 3.13 过程 process</t>
  </si>
  <si>
    <t>885fc499511b4ecb</t>
  </si>
  <si>
    <t>- 表A.1 按软件安全级别的要求汇总
- 表B.1 ISO/IEC 12207中规定的开发（模型）策略
- 表C.1 与YY/T 0287-2017的关系
- 表C.2 与YY/T 0316-2016的关系
- 表C.3 与IEC 60601-1的关系
- 表C.4 与ISO/IEC 12207:2008的关系
- 表D.1 用于未经质量管理体系认证的小型制造商的检查表
&lt;!-- source_pdf_page: 4 --&gt;
# 前言
本标准按照GB/T 1.1-2009给出的规则起草。
本标准代替YY/T 0664-2008《医疗器械软件 软件生存周期过程》，与YY/T 0664-2008相比，除编辑性修改外主要技术变化如下：</t>
  </si>
  <si>
    <t>[[5, 4, 4, 4, 4]]</t>
  </si>
  <si>
    <t>2e377a59c9cbe340</t>
  </si>
  <si>
    <t>## 4.1 *质量管理体系
医疗器械软件制造商应证实其有能力提供持续满足顾客要求和适用法规要求的医疗器械软件。
**注1：** 可通过应用符合下列要求的质量管理体系证实此能力：
- YY/T 0287；
- 国家质量管理体系标准；或
- 国家法规要求的质量管理体系。
**注2：** 将质量管理体系要求应用于软件的指南参见ISO/IEC 90003。
## 4.2 *风险管理
制造商应应用符合YY/T 0316的风险管理过程。
## 4.3 *软件安全分级
软件安全分级应满足如下准则和要求：
a) 制造商应根据软件系统在最不利情况下（如图3所示）促成的危险情况引发的对患者、操作者或其他人员伤害的风险，赋予每个软件系统一个软件安全级别（A、B或C）。
&lt;!-- source_pdf_page: 14; source_printed_page: 7 --&gt;
### 图3 赋予软件安全级别（结构化文字说明）
初始默认为C级，并依次判断：</t>
  </si>
  <si>
    <t>77a56132de492d9a</t>
  </si>
  <si>
    <t>## 4.4 *遗留软件
### 4.4.1 概述
针对遗留软件，作为应用第5章至第9章的替代方案，可按照4.4.2至4.4.5的要求证实遗留软件的符合性。
### 4.4.2 风险管理活动
根据4.2的要求，制造商应：
a) 评价来自该组织内部和/或用户的有关遗留软件中任何已知或潜在事件的任何反馈，包括生产后信息；  
b) 实施与继续使用遗留软件有关的风险管理活动，并考虑以下方面：
   - 在整个医疗器械预期使用寿命期间，作为遗留软件一部分实施的风险控制措施是否持续有效；
   - 与遗留软件继续使用相关的危险情况的识别；
   - 遗留软件促成危险情况的潜在原因的识别；
   - 对遗留软件促成危险情况的每个潜在原因，确定风险控制措施。
### 4.4.3 差距分析</t>
  </si>
  <si>
    <t>[[31, 30, 30, 30, 30]]</t>
  </si>
  <si>
    <t>9c09958495cf866f</t>
  </si>
  <si>
    <t>## 1.3 与其他标准的关系
在开发医疗器械时，本医疗器械软件生存周期标准和其他适用的标准共同使用。本标准与其他相关标准之间的关系参见附录C。
## 1.4 符合性
符合本标准意指按照软件安全级别，实施在本标准中确定的所有过程、活动和任务。
**注1：** 为每项要求赋予的软件安全级别在正文中标注在该项要求之后。
通过对本标准所要求的所有文档（包括风险管理文档）的检查和对软件安全级别所要求的过程、活动和任务的评定来确定符合性。
**注2：** 此种评定可通过内部或外部的审核来进行。
**注3：** 尽管要完成特定的过程、活动和任务，但实施这些过程和执行这些活动和任务的方法具有灵活性。
**注4：** 若任何包含“适当时（as appropriate）”的要求未实施，为说明理由而形成的文档对于本评定是必要的。
**注5：** 本标准中用术语“符合性（compliance）”之处，在ISO/IEC 12207中用术语“符合性（conformance）”。
**注6：** 有关遗留软件的符合性，见4.4。
# 2 *规范性引用文件
下列文件对于本文件的应用是必不可少的。凡是注日期的引用文件，仅注日期的版本适用于本文件。凡是不注日期的引用文件，其最新版本（包括所有的修改单）适用于本文件。</t>
  </si>
  <si>
    <t>5ea1c334df27f59d</t>
  </si>
  <si>
    <t>## 3.33 危险情况 hazardous situation
人员、财产或环境暴露于一个或多个危险（源）中的情形。
[YY/T 0316-2016，定义2.4]
&lt;!-- source_pdf_page: 13; source_printed_page: 6 --&gt;
## 3.34 遗留软件 legacy software
合法地投放市场且至今仍在销售的医疗器械软件，但其开发符合本标准现行版本的客观证据不充分。
## 3.35 发布 release
为特定目的提供一个配置项的特定版本。
**注：** 改写ISO/IEC 12207:2008，定义4.35。
## 3.36 剩余风险 residual risk
实施风险控制措施后还存在的风险。
**注1：** 改写GB/T 20000.4-2003，定义3.9。
**注2：** GB/T 20000.4-2003定义3.9使用术语“防护措施”而不使用“风险控制措施”。然而，在YY/T 0316-2016中，“防护措施”只是6.2所描述的风险控制方案之一。
[YY/T 0316-2016，定义2.15]
## 3.37 风险估计 risk estimation
用于对伤害发生概率和该伤害严重度赋值的过程。
[YY/T 0316-2016，定义2.20]
## 3.38 风险评价 risk evaluation
将估计的风险与给定的风险准则进行比较，以决定风险可接受性的过程。
[YY/T 0316-2016，定义2.21]
# 4 *总要求
## 4.1 *质量管理体系</t>
  </si>
  <si>
    <t>102edb1afea4900f</t>
  </si>
  <si>
    <t>- 9 软件问题解决过程
  - 9.1 编写问题报告
  - 9.2 调查问题
  - 9.3 通知相关方
  - 9.4 使用变更控制过程
  - 9.5 保持记录
  - 9.6 分析问题的趋势
  - 9.7 验证软件问题的解决
  - 9.8 测试文档的内容
- 附录A（资料性附录）本标准要求的理由说明
- 附录B（资料性附录）关于本标准条款的指南
- 附录C（资料性附录）与其他标准的关系
- 附录D（资料性附录）实施
- 参考文献
## 图目录
- 图1 软件开发过程和活动图示
- 图2 软件维护过程和活动图示
- 图3 赋予软件安全级别
- 图B.1 危险（源）、事件序列、危险情况和伤害关系的图示（源于YY/T 0316-2016的附录E）
- 图B.2 软件项划分示例
- 图B.3 法规视角——现成软件与未知来源软件、遗留软件之间的关系
- 图C.1 重要医疗器械标准与本标准的关系
- 图C.2 软件作为V模型的一部分
- 图C.3 YY/T 0664与IEC 61010-1联合应用
## 表目录</t>
  </si>
  <si>
    <t>75fb1d5569eec484</t>
  </si>
  <si>
    <t>### 5.1.2 保持对软件开发计划的更新
适当时，制造商应随着开发的进行更新计划。[A、B、C级]
### 5.1.3 引用系统设计和开发的软件开发计划
在软件开发计划中，制造商应：
a) 引用系统需求，作为软件开发的输入；  
b) 包括或引用用于协调软件开发和系统开发所必需的规程，以满足4.1的要求（例如系统的集成、验证和确认）。
[A、B、C级]
**注：** 如果软件系统是一个独立的系统（纯软件器械），在软件系统需求和系统需求之间可能没有区别。
### 5.1.4 软件开发标准、方法和工具的策划
制造商应在软件开发计划中包括或引用与C级软件项开发有关的：
a) 标准；  
b) 方法；  
c) 工具。
[C级]</t>
  </si>
  <si>
    <t>[[35, 34, 34, 34, 34]]</t>
  </si>
  <si>
    <t>a0dce9ae57982331</t>
  </si>
  <si>
    <t>- 前言
- 引言
- 1 范围
  - 1.1 目的
  - 1.2 应用范围
  - 1.3 与其他标准的关系
  - 1.4 符合性
- 2 规范性引用文件
- 3 术语和定义
- 4 总要求
  - 4.1 质量管理体系
  - 4.2 风险管理
  - 4.3 软件安全分级
  - 4.4 遗留软件
- 5 软件开发过程
  - 5.1 软件开发策划
  - 5.2 软件需求分析
  - 5.3 软件体系结构设计
  - 5.4 软件详细设计
  - 5.5 软件单元的实现
  - 5.6 软件集成和集成测试
  - 5.7 软件系统测试
  - 5.8 软件在系统级别应用的发布
- 6 软件维护过程
  - 6.1 建立软件维护计划
  - 6.2 问题和修改分析
  - 6.3 修改的实施
- 7 软件风险管理过程
  - 7.1 促成危险情况的软件分析
  - 7.2 风险控制措施
  - 7.3 风险控制措施的验证
  - 7.4 软件变更的风险管理
- 8 软件配置管理过程
  - 8.1 配置标识
  - 8.2 变更控制
  - 8.3 配置状态报告
&lt;!-- source_pdf_page: 3 --&gt;</t>
  </si>
  <si>
    <t>d94666aae31bc732</t>
  </si>
  <si>
    <t>## 3.24 软件项 software item
计算机程序中任何可识别的部分，例如：源代码、目标代码、控制代码、控制数据或这些项的集合。
&lt;!-- source_pdf_page: 12; source_printed_page: 5 --&gt;
**注1：** 三个术语描述软件分解。顶层是软件系统，最底层不能进一步分解的是软件单元。该结构的所有层级，包括顶层和底层，都可以称为软件项。软件系统则由一个或多个软件项组成，而每个软件项由一个或多个软件单元或可分解的软件项组成。提供软件项和软件单元的粒度是制造商的责任。
**注2：** 改写GB/T 19003-2008，定义3.14和ISO/IEC 12207:2008，定义4.41。
## 3.25 软件系统 software system
有组织的、经集成的软件项组合，以完成某个特定功能或一组功能。
## 3.26 软件单元 software unit
不可再分的软件项。
**注：** 软件单元的粒度由制造商定义（参见B.3）。
## 3.27 未知来源软件 software of unknown provenance；SOUP
已经开发且通常可得到，并且不是为包含到医疗器械内而开发的软件项（也称为“成品软件”）；或以前开发的、不能得到其开发过程足够记录的软件项。
**注：** 医疗器械软件行业本身不能称为未知来源软件。
## 3.28 系统 system</t>
  </si>
  <si>
    <t>DOC003</t>
  </si>
  <si>
    <t>DOC003_NMPA_independent_software_GMP_2019.pdf</t>
  </si>
  <si>
    <t>89dd4b10b0b2bfce</t>
  </si>
  <si>
    <t>2.3.2 软件生存周期过程质量保证活动要求应当与软件安 全性级别相适宜。软件安全性级别应当在采取风险控制措施之 前，结合软件的预期用途、使用场景和核心功能进行综合判定， 并仅可通过外部风险控制措施降低级别。</t>
  </si>
  <si>
    <t>[[2, 77, 517, 330, 429]]</t>
  </si>
  <si>
    <t>0d97d2b416518753</t>
  </si>
  <si>
    <t>4. Third-Party Software Components ............................................................................... 15</t>
  </si>
  <si>
    <t>37f80b39665ba441</t>
  </si>
  <si>
    <t>16. A facility use continuous ventilator.
Description: The device is intended to provide continuous ventilation for adult, pediatric, and neonatal patients who require invasive or noninvasive respiratory support. It allows clinicians to set ventilator control parameters, set alarm limits, and view monitored values and waveforms for patient management. It includes respiratory monitoring as well as both mandatory and spontaneous ventilation modes. It is intended for use in professional healthcare facilities.
Rationale: A failure or latent flaw of the device software function(s), such as failure to provide appropriately timed ventilation, would present a hazardous situation with a probable risk of death or serious injury to a patient, prior to the implementation of risk control measures.
Outcome: Enhanced Documentation Level</t>
  </si>
  <si>
    <t>[[38, 89, 280, 312, 326], [38, 142, 528, 342, 424], [38, 142, 524, 439, 493], [38, 144, 352, 508, 519]]</t>
  </si>
  <si>
    <t>f131df606a4bf4aa</t>
  </si>
  <si>
    <t>9 For more information on the German hospital ransomware attack, see The untold story of a cyberattack, a hospital
and a dying woman.
## Source page 8
be capable of mitigating emerging cybersecurity risks throughout the TPLC, and to more clearly
outline FDA’s recommendations for premarket submission information to address cybersecurity
concerns.
One way these TPLC considerations for devices can be achieved is through the implementation
and adoption of a Secure Product Development Framework (SPDF).10 An SPDF, as described in
this guidance, is a set of processes that reduces the number and severity of vulnerabilities in
products throughout the device lifecycle. Examples of such frameworks exist in many sectors
including the medical device sector.
Risk management for device manufacturers is the essential systematic practice of identifying,
analyzing, evaluating, controlling, and monitoring risk throughout the product lifecycle to ensure
that the devices they manufacture are safe and effective. FDA issued a final rule11 amending the
device current good manufacturing practice (cGMP) requirements of the Quality System (QS)
Regulation under 21 CFR 820 to align more closely with the international consensus standard for
Quality Management Systems (QMS) for medical devices used by many other regulatory
authorities around the world. This revised Part 820 is referred to as the Quality Management
System Regulation (QMSR).
The QMSR incorporates by reference the 2016 edition of ISO 13485.12 By incorporating ISO
13485 by reference, we are explicitly requiring current internationally recognized regulatory
expectations for QMS for devices subject to FDA’s jurisdiction. Of particular note for this
guidance, ISO 13485, incorporated into the QMSR by reference, incorporates risk management
throughout its requirements.13
The recommendations contained in this guidance are intended to supplement FDA’s Postmarket
Cybersecurity Guidance, and “Content of Premarket Submissions for Device Software
Functions,” hereafter referred to as the “Premarket Software Guidance.” This guidance replaces
the 2014 final guidance “Content of Premarket Submissions for Management of Cybersecurity in
Medical Devices.”
The recommendations in this guidance also generally align with or expand upon the
recommendations in the Pre-Market Considerations for Medical Device Cybersecurity section of
the International Medical Device Regulators Forum (IMDRF) final guidance “Principles and
Practices for Medical Device Cybersecurity,” issued in March 2020.</t>
  </si>
  <si>
    <t>[[22, 21, 21, 21, 21]]</t>
  </si>
  <si>
    <t>a7f6b4ba4e6b1761</t>
  </si>
  <si>
    <t>33 While security architecture is likely captured as a component of the security risk management process, it is
discussed separately for the purposes of this guidance due to the level of detail recommended to be provided by
manufacturers in order to facilitate FDA review of the safety and effectiveness of the device.</t>
  </si>
  <si>
    <t>[[25, 24, 24, 24, 24]]</t>
  </si>
  <si>
    <t>c28221b4f26864ee</t>
  </si>
  <si>
    <t>## 3.16 风险分析 risk analysis
系统地运用现有信息确定危险（源）和估计风险的过程。
[YY/T 0316-2016，定义2.17]
## 3.17 风险控制 risk control
作出决策并实施措施，以便降低风险或把风险维持在规定水平的过程。
[YY/T 0316-2016，定义2.19]
## 3.18 风险管理 risk management
用于风险分析、评价、控制工作的管理方针、程序及其实践的系统运用。
**注：** 改写YY/T 0316-2016，定义2.22，删除了“和监视”。
## 3.19 风险管理文档 risk management file
由风险管理产生的一组记录和其他文件。
[YY/T 0316-2016，定义2.23]
## 3.20 安全 safety
免除了不可接受的风险的状态。
[YY/T 0316-2016，定义2.24]
## 3.21 信息安全 security
防止蓄意破坏或强制失效，保密性、完整性、可得性和可核查性四个属性的组合，及第五个属性可用性，所有这些属性均有保证性的问题。
**注：** 改写ISO/IEC/IEEE 12207:2017，定义3.1.49。
## 3.22 严重损伤 serious injury</t>
  </si>
  <si>
    <t>08c4408a25d0a42a</t>
  </si>
  <si>
    <t>## 3.16 记录 record
阐明所取得的结果或提供所完成活动的证据的文件。
**注1：** 记录可用于正式的可追溯性活动，并为验证、预防措施和纠正措施提供证据。
**注2：** 通常，记录不需要控制版本。
[来源：GB/T 19000-2016，3.8.10]
## 3.17 剩余风险 residual risk
实施风险控制（3.21）措施后还存在的风险。
[来源：ISO/IEC Guide 63:2019，3.9]
## 3.18 风险 risk
伤害（3.3）发生概率和该伤害严重度（3.27）的组合。
[来源：ISO/IEC Guide 63:2019，3.10，有修改]
## 3.19 风险分析 risk analysis
系统性地使用可获得的信息以识别危险（3.4）和估计风险（3.18）。
[来源：ISO/IEC Guide 63:2019，3.11]
&lt;!-- source_pdf_page: 10; source_printed_page: 5 --&gt;
## 3.20 风险评估 risk assessment
包括风险分析（3.19）和风险评价（3.23）的全过程（3.14）。
[来源：GB/T 20002.4-2015，3.11，有修改]
## 3.21 风险控制 risk control
做出决策并实施措施，以便降低风险（3.18）或将风险（3.18）维持在规定水平的过程（3.14）。
[来源：ISO/IEC Guide 63:2019，3.12]
## 3.22 风险估计 risk estimation</t>
  </si>
  <si>
    <t>46434aa4bd8ccfcf</t>
  </si>
  <si>
    <t>## 3.22 风险估计 risk estimation
用于对伤害（3.3）发生概率和该伤害严重度（3.27）赋值的过程（3.14）。
[来源：ISO/IEC Guide 63:2019，3.13]
## 3.23 风险评价 risk evaluation
将已估计的风险（3.18）和给定的风险（3.18）准则进行比较，以确定风险可接受性的过程（3.14）。
[来源：ISO/IEC Guide 63:2019，3.14]
## 3.24 风险管理 risk management
将管理方针、程序（3.13）及其实践系统性地应用于分析、评价、控制和监视风险（3.18）的活动。
[来源：ISO/IEC Guide 63:2019，3.15]
## 3.25 风险管理文档 risk management file
由风险管理（3.24）产生的一组记录（3.16）和其他文件。
## 3.26 安全 safety
免除了不可接受的风险（3.18）的状态。
[来源：ISO/IEC Guide 63:2019，3.16]
## 3.27 严重度 severity
危险（3.4）可能后果的度量。
[来源：ISO/IEC Guide 63:2019，3.17]
## 3.28 最新技术水平 state of the art</t>
  </si>
  <si>
    <t>04b89c6439a51b0d</t>
  </si>
  <si>
    <t>22. A device software function that provides a sepsis alarm to a healthcare provider in a critical care environment.
Description: Software intended to analyze patient demographics, vital signs, and lab results from an electronic medical record to provide asepsis alarm identifying patients with sepsis or at risk of developing sepsis earlier than a healthcare provider would otherwise. The patient clinical data used as an input for the software is part of ongoing or active monitoring of the patient's current health state in a critical care environment.
Rationale: A failure or latent flaw of the device software function(s), such as failure to provide a sepsis alarm) would present a hazardous situation with a probable risk of death or serious injury to either a patient, user of the device, or others in the environment of use prior to the implementation of risk control measures.
Outcome: Enhanced Documentation Level
ContainsNonbindingRecommendations</t>
  </si>
  <si>
    <t>[[40, 89, 512, 481, 509], [40, 142, 534, 525, 607], [40, 142, 525, 623, 689], [40, 143, 352, 704, 718], [41, 206, 405, 38, 50]]</t>
  </si>
  <si>
    <t>4082318d31468cf4</t>
  </si>
  <si>
    <t>26. A radiation therapy treatment system (e.g., Linear accelerator).
ContainsNonbindingRecommendations
Description: The device is intended to noninvasively deliver a focal dose of radiation to a specified volume of a patient's anatomy while sparing the surrounding normal tissues and structures.
Rationale: A failure or latent flaw of the device software function(s), such as under- or overdose to a target volume or delivery to the wrong volume, could present a hazardous situation with a probable risk of death or serious injury to the patient prior to the implementation of risk control measures.
Outcome: Enhanced Documentation Level</t>
  </si>
  <si>
    <t>[[41, 89, 409, 672, 686], [42, 206, 405, 39, 51], [42, 143, 513, 79, 121], [42, 142, 535, 135, 190], [42, 144, 352, 204, 216]]</t>
  </si>
  <si>
    <t>9060a406fe131a1d</t>
  </si>
  <si>
    <t>81 For the purposes of this guidance, “allow-list” means a list of discrete entities, such as hosts or applications that
are known to be benign and are approved for use within an organization and/or information system. This term is
leveraged from the definition of “whitelist” in NIST SP 800-128. https://doi.org/10.6028/NIST.SP.800-128
## Source page 47
· Validate that all data originating from external sources is well-formed and
compliant with the expected protocol or specification. Additionally, as
appropriate, validate data ranges to ensure they fall within safe limits; and
· Protect the integrity of data necessary to ensure the safety and effectiveness of the
device, e.g., critical configuration settings such as energy output.
· Execution Integrity
· Use industry-accepted best practices to maintain and verify integrity of code
while it is being executed on the device. For example, Host-based Intrusion
Detection/Prevention Systems (HIDS/HIPS) can be used to accomplish this goal;
and
· Carefully design and review all code that handles the parsing of external data
using automated (e.g., static and dynamic analyses) and manual (i.e., code review)
methods.
Confidentiality
Manufacturers should ensure support for the confidentiality82 of any/all data whose disclosure
could lead to patient harm (e.g., through the unauthorized use of otherwise valid credentials, lack
of encryption). Loss of confidentiality of credentials could be used by a threat-actor to effect
multi-patient harm. Lack of encryption to protect sensitive information and or data at rest and in
transit can expose this information to misuse that can lead to patient harm. For example,
confidentiality is required in the handling and storage of cryptographic keys used for
authentication because disclosure could lead to unauthorized use/abuse of device functionality.
The proper implementation of authorization and authentication schemes as described in Sections
A and B of this appendix will generally ensure confidentiality. However, manufacturers should
evaluate and assess whether this is the case during their threat modeling and other risk
management activities and make any appropriate changes to their medical device systems to
ensure appropriate confidentiality controls are in place.
Event Detection and Logging
Event detection and logging are critical capabilities that should be present in a device and the
larger system in which it operates in order to ensure that suspected and successful attempts to
compromise a medical device may be identified and tracked. These event detection capabilities
and logs should include storage capabilities, if possible, so that forensic discovery may later be
performed.
While many of the following recommendations are tailored for workstations, the concepts
presented below also apply to embedded computing devices. Manufacturers should consider the
following for all devices: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</si>
</sst>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000"/>
  </numFmts>
  <fonts count="12">
    <font>
      <sz val="11"/>
      <color theme="1"/>
      <name val="宋体"/>
      <family val="2"/>
      <scheme val="minor"/>
    </font>
    <font>
      <b/>
      <sz val="16"/>
      <color rgb="FFFFFFFF"/>
      <name val="Microsoft YaHei"/>
      <family val="2"/>
      <charset val="134"/>
    </font>
    <font>
      <sz val="10"/>
      <color rgb="FF595959"/>
      <name val="Microsoft YaHei"/>
      <family val="2"/>
      <charset val="134"/>
    </font>
    <font>
      <b/>
      <sz val="11"/>
      <color rgb="FF17365D"/>
      <name val="Microsoft YaHei"/>
      <family val="2"/>
      <charset val="134"/>
    </font>
    <font>
      <b/>
      <sz val="14"/>
      <color rgb="FF0F6B78"/>
      <name val="Microsoft YaHei"/>
      <family val="2"/>
      <charset val="134"/>
    </font>
    <font>
      <b/>
      <sz val="12"/>
      <color rgb="FF17365D"/>
      <name val="Microsoft YaHei"/>
      <family val="2"/>
      <charset val="134"/>
    </font>
    <font>
      <sz val="10"/>
      <color rgb="FF1F1F1F"/>
      <name val="Microsoft YaHei"/>
      <family val="2"/>
      <charset val="134"/>
    </font>
    <font>
      <b/>
      <sz val="11"/>
      <color rgb="FF1F1F1F"/>
      <name val="Microsoft YaHei"/>
      <family val="2"/>
      <charset val="134"/>
    </font>
    <font>
      <sz val="9"/>
      <color rgb="FF666666"/>
      <name val="Consolas"/>
    </font>
    <font>
      <b/>
      <sz val="10"/>
      <color rgb="FFFFFFFF"/>
      <name val="Microsoft YaHei"/>
      <family val="2"/>
      <charset val="134"/>
    </font>
    <font>
      <sz val="9"/>
      <color rgb="FF1F1F1F"/>
      <name val="Microsoft YaHei"/>
      <family val="2"/>
      <charset val="134"/>
    </font>
    <font>
      <sz val="9"/>
      <name val="宋体"/>
      <family val="3"/>
      <charset val="134"/>
      <scheme val="minor"/>
    </font>
  </fonts>
  <fills count="9">
    <fill>
      <patternFill patternType="none"/>
    </fill>
    <fill>
      <patternFill patternType="gray125"/>
    </fill>
    <fill>
      <patternFill patternType="solid">
        <fgColor rgb="FF17365D"/>
      </patternFill>
    </fill>
    <fill>
      <patternFill patternType="solid">
        <fgColor rgb="FFD9EAF7"/>
      </patternFill>
    </fill>
    <fill>
      <patternFill patternType="solid">
        <fgColor rgb="FFFFFFFF"/>
      </patternFill>
    </fill>
    <fill>
      <patternFill patternType="solid">
        <fgColor rgb="FFFFF2CC"/>
      </patternFill>
    </fill>
    <fill>
      <patternFill patternType="solid">
        <fgColor rgb="FFFCE4D6"/>
      </patternFill>
    </fill>
    <fill>
      <patternFill patternType="solid">
        <fgColor rgb="FFE2F0D9"/>
      </patternFill>
    </fill>
    <fill>
      <patternFill patternType="solid">
        <fgColor rgb="FF4472C4"/>
      </patternFill>
    </fill>
  </fills>
  <borders count="4">
    <border>
      <left/>
      <right/>
      <top/>
      <bottom/>
      <diagonal/>
    </border>
    <border>
      <left style="thin">
        <color rgb="FFD9E1F2"/>
      </left>
      <right style="thin">
        <color rgb="FFD9E1F2"/>
      </right>
      <top style="thin">
        <color rgb="FFD9E1F2"/>
      </top>
      <bottom style="thin">
        <color rgb="FFD9E1F2"/>
      </bottom>
      <diagonal/>
    </border>
    <border>
      <left/>
      <right/>
      <top/>
      <bottom style="medium">
        <color rgb="FF4472C4"/>
      </bottom>
      <diagonal/>
    </border>
    <border>
      <left/>
      <right/>
      <top/>
      <bottom style="thin">
        <color rgb="FFD9E1F2"/>
      </bottom>
      <diagonal/>
    </border>
  </borders>
  <cellStyleXfs count="1">
    <xf numFmtId="0" fontId="0" fillId="0" borderId="0"/>
  </cellStyleXfs>
  <cellXfs count="18">
    <xf numFmtId="0" fontId="0" fillId="0" borderId="0" xfId="0"/>
    <xf numFmtId="0" fontId="3" fillId="3" borderId="1" xfId="0" applyFont="1" applyFill="1" applyBorder="1" applyAlignment="1">
      <alignment horizontal="center" vertical="center" wrapText="1"/>
    </xf>
    <xf numFmtId="1" fontId="4" fillId="4" borderId="1" xfId="0" applyNumberFormat="1" applyFont="1" applyFill="1" applyBorder="1" applyAlignment="1">
      <alignment horizontal="center" vertical="center"/>
    </xf>
    <xf numFmtId="176" fontId="4" fillId="4" borderId="1" xfId="0" applyNumberFormat="1" applyFont="1" applyFill="1" applyBorder="1" applyAlignment="1">
      <alignment horizontal="center" vertical="center"/>
    </xf>
    <xf numFmtId="0" fontId="5" fillId="0" borderId="0" xfId="0" applyFont="1"/>
    <xf numFmtId="0" fontId="7" fillId="5" borderId="0" xfId="0" applyFont="1" applyFill="1" applyAlignment="1">
      <alignment horizontal="center" vertical="center"/>
    </xf>
    <xf numFmtId="0" fontId="7" fillId="6" borderId="0" xfId="0" applyFont="1" applyFill="1" applyAlignment="1">
      <alignment horizontal="center" vertical="center"/>
    </xf>
    <xf numFmtId="0" fontId="7" fillId="7" borderId="0" xfId="0" applyFont="1" applyFill="1" applyAlignment="1">
      <alignment horizontal="center" vertical="center"/>
    </xf>
    <xf numFmtId="0" fontId="9" fillId="8" borderId="2" xfId="0" applyFont="1" applyFill="1" applyBorder="1" applyAlignment="1">
      <alignment horizontal="center" vertical="center" wrapText="1"/>
    </xf>
    <xf numFmtId="0" fontId="10" fillId="0" borderId="3" xfId="0" applyFont="1" applyBorder="1" applyAlignment="1">
      <alignment vertical="top" wrapText="1"/>
    </xf>
    <xf numFmtId="0" fontId="10" fillId="5" borderId="3" xfId="0" applyFont="1" applyFill="1" applyBorder="1" applyAlignment="1">
      <alignment vertical="top" wrapText="1"/>
    </xf>
    <xf numFmtId="177" fontId="10" fillId="0" borderId="3" xfId="0" applyNumberFormat="1" applyFont="1" applyBorder="1" applyAlignment="1">
      <alignment vertical="top" wrapText="1"/>
    </xf>
    <xf numFmtId="0" fontId="6" fillId="0" borderId="0" xfId="0" applyFont="1" applyAlignment="1">
      <alignment vertical="center" wrapText="1"/>
    </xf>
    <xf numFmtId="0" fontId="0" fillId="0" borderId="0" xfId="0"/>
    <xf numFmtId="0" fontId="8" fillId="0" borderId="0" xfId="0" applyFont="1" applyAlignment="1">
      <alignment wrapText="1"/>
    </xf>
    <xf numFmtId="0" fontId="2" fillId="0" borderId="0" xfId="0" applyFont="1" applyAlignment="1">
      <alignment vertical="center" wrapText="1"/>
    </xf>
    <xf numFmtId="0" fontId="1" fillId="2" borderId="0" xfId="0" applyFont="1" applyFill="1" applyAlignment="1">
      <alignment horizontal="left" vertical="center"/>
    </xf>
    <xf numFmtId="0" fontId="2" fillId="0" borderId="0" xfId="0" applyFont="1" applyAlignment="1">
      <alignment vertical="center"/>
    </xf>
  </cellXfs>
  <cellStyles count="1">
    <cellStyle name="常规" xfId="0" builtinId="0"/>
  </cellStyles>
  <dxfs count="5">
    <dxf>
      <font>
        <b/>
        <color rgb="FF006100"/>
      </font>
      <fill>
        <patternFill patternType="solid">
          <fgColor rgb="FFE2F0D9"/>
        </patternFill>
      </fill>
    </dxf>
    <dxf>
      <font>
        <b/>
        <color rgb="FF9C0006"/>
      </font>
      <fill>
        <patternFill patternType="solid">
          <fgColor rgb="FFFCE4D6"/>
        </patternFill>
      </fill>
    </dxf>
    <dxf>
      <fill>
        <patternFill patternType="solid">
          <fgColor rgb="FFFCE4D6"/>
        </patternFill>
      </fill>
    </dxf>
    <dxf>
      <fill>
        <patternFill patternType="solid">
          <fgColor rgb="FFE2F0D9"/>
        </patternFill>
      </fill>
    </dxf>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H21"/>
  <sheetViews>
    <sheetView showGridLines="0" tabSelected="1" workbookViewId="0">
      <pane ySplit="3" topLeftCell="A4" activePane="bottomLeft" state="frozen"/>
      <selection pane="bottomLeft" sqref="A1:H1"/>
    </sheetView>
  </sheetViews>
  <sheetFormatPr defaultRowHeight="14"/>
  <cols>
    <col min="1" max="1" width="18" customWidth="1"/>
    <col min="2" max="2" width="14" customWidth="1"/>
    <col min="3" max="3" width="18" customWidth="1"/>
    <col min="4" max="4" width="14" customWidth="1"/>
    <col min="5" max="5" width="18" customWidth="1"/>
    <col min="6" max="6" width="14" customWidth="1"/>
    <col min="7" max="7" width="18" customWidth="1"/>
    <col min="8" max="8" width="14" customWidth="1"/>
  </cols>
  <sheetData>
    <row r="1" spans="1:8" ht="30" customHeight="1">
      <c r="A1" s="16" t="s">
        <v>0</v>
      </c>
      <c r="B1" s="13"/>
      <c r="C1" s="13"/>
      <c r="D1" s="13"/>
      <c r="E1" s="13"/>
      <c r="F1" s="13"/>
      <c r="G1" s="13"/>
      <c r="H1" s="13"/>
    </row>
    <row r="2" spans="1:8" ht="34" customHeight="1">
      <c r="A2" s="15" t="s">
        <v>1</v>
      </c>
      <c r="B2" s="13"/>
      <c r="C2" s="13"/>
      <c r="D2" s="13"/>
      <c r="E2" s="13"/>
      <c r="F2" s="13"/>
      <c r="G2" s="13"/>
      <c r="H2" s="13"/>
    </row>
    <row r="4" spans="1:8" ht="42" customHeight="1">
      <c r="A4" s="1" t="s">
        <v>2</v>
      </c>
      <c r="B4" s="2">
        <v>100</v>
      </c>
      <c r="C4" s="1" t="s">
        <v>3</v>
      </c>
      <c r="D4" s="3">
        <v>1</v>
      </c>
      <c r="E4" s="1" t="s">
        <v>4</v>
      </c>
      <c r="F4" s="2">
        <v>25</v>
      </c>
      <c r="G4" s="1" t="s">
        <v>5</v>
      </c>
      <c r="H4" s="2">
        <f>COUNTIF(人工复核!$U$4:$U$28,"已确认")</f>
        <v>25</v>
      </c>
    </row>
    <row r="6" spans="1:8" ht="42" customHeight="1">
      <c r="A6" s="1" t="s">
        <v>6</v>
      </c>
      <c r="B6" s="3">
        <v>0.8</v>
      </c>
      <c r="C6" s="1" t="s">
        <v>7</v>
      </c>
      <c r="D6" s="3">
        <v>0.69499999999999995</v>
      </c>
      <c r="E6" s="1" t="s">
        <v>8</v>
      </c>
      <c r="F6" s="3">
        <v>0.08</v>
      </c>
      <c r="G6" s="1" t="s">
        <v>9</v>
      </c>
      <c r="H6" s="3">
        <f>IF(COUNTIF(人工复核!$U$4:$U$28,"已确认")=0,"",COUNTIF(人工复核!$V$4:$V$28,"一致")/COUNTIF(人工复核!$U$4:$U$28,"已确认"))</f>
        <v>0.36</v>
      </c>
    </row>
    <row r="8" spans="1:8" ht="20">
      <c r="A8" s="1" t="s">
        <v>10</v>
      </c>
      <c r="B8" s="3">
        <f>SUM(人工复核!$O$4:$O$28)/COUNT(人工复核!$O$4:$O$28)</f>
        <v>0.44</v>
      </c>
      <c r="C8" s="1" t="s">
        <v>11</v>
      </c>
      <c r="D8" s="3">
        <f>SUM(人工复核!$P$4:$P$28)/(2*COUNT(人工复核!$P$4:$P$28))</f>
        <v>0.36</v>
      </c>
      <c r="E8" s="1" t="s">
        <v>12</v>
      </c>
      <c r="F8" s="3">
        <f>SUM(人工复核!$Q$4:$Q$28)/COUNT(人工复核!$Q$4:$Q$28)</f>
        <v>0.24</v>
      </c>
      <c r="G8" s="1" t="s">
        <v>13</v>
      </c>
      <c r="H8" s="2">
        <f>COUNTIF(人工复核!$U$4:$U$28,"已确认")</f>
        <v>25</v>
      </c>
    </row>
    <row r="9" spans="1:8" ht="16.5" customHeight="1">
      <c r="A9" s="4" t="s">
        <v>14</v>
      </c>
    </row>
    <row r="10" spans="1:8" ht="24" customHeight="1">
      <c r="A10" s="12" t="s">
        <v>15</v>
      </c>
      <c r="B10" s="13"/>
      <c r="C10" s="13"/>
      <c r="D10" s="13"/>
      <c r="E10" s="13"/>
      <c r="F10" s="13"/>
      <c r="G10" s="13"/>
      <c r="H10" s="13"/>
    </row>
    <row r="11" spans="1:8" ht="24" customHeight="1">
      <c r="A11" s="12" t="s">
        <v>16</v>
      </c>
      <c r="B11" s="13"/>
      <c r="C11" s="13"/>
      <c r="D11" s="13"/>
      <c r="E11" s="13"/>
      <c r="F11" s="13"/>
      <c r="G11" s="13"/>
      <c r="H11" s="13"/>
    </row>
    <row r="12" spans="1:8" ht="24" customHeight="1">
      <c r="A12" s="12" t="s">
        <v>17</v>
      </c>
      <c r="B12" s="13"/>
      <c r="C12" s="13"/>
      <c r="D12" s="13"/>
      <c r="E12" s="13"/>
      <c r="F12" s="13"/>
      <c r="G12" s="13"/>
      <c r="H12" s="13"/>
    </row>
    <row r="13" spans="1:8" ht="24" customHeight="1">
      <c r="A13" s="12" t="s">
        <v>18</v>
      </c>
      <c r="B13" s="13"/>
      <c r="C13" s="13"/>
      <c r="D13" s="13"/>
      <c r="E13" s="13"/>
      <c r="F13" s="13"/>
      <c r="G13" s="13"/>
      <c r="H13" s="13"/>
    </row>
    <row r="16" spans="1:8" ht="16.5" customHeight="1">
      <c r="A16" s="4" t="s">
        <v>19</v>
      </c>
    </row>
    <row r="17" spans="1:8" ht="16.5" customHeight="1">
      <c r="A17" s="5" t="s">
        <v>20</v>
      </c>
      <c r="C17" s="6" t="s">
        <v>21</v>
      </c>
      <c r="E17" s="6" t="s">
        <v>22</v>
      </c>
      <c r="G17" s="7" t="s">
        <v>23</v>
      </c>
    </row>
    <row r="20" spans="1:8" ht="14.5" customHeight="1">
      <c r="A20" s="14" t="s">
        <v>24</v>
      </c>
      <c r="B20" s="13"/>
      <c r="C20" s="13"/>
      <c r="D20" s="13"/>
      <c r="E20" s="13"/>
      <c r="F20" s="13"/>
      <c r="G20" s="13"/>
      <c r="H20" s="13"/>
    </row>
    <row r="21" spans="1:8" ht="14.5" customHeight="1">
      <c r="A21" s="14" t="s">
        <v>25</v>
      </c>
      <c r="B21" s="13"/>
      <c r="C21" s="13"/>
      <c r="D21" s="13"/>
      <c r="E21" s="13"/>
      <c r="F21" s="13"/>
      <c r="G21" s="13"/>
      <c r="H21" s="13"/>
    </row>
  </sheetData>
  <mergeCells count="8">
    <mergeCell ref="A1:H1"/>
    <mergeCell ref="A12:H12"/>
    <mergeCell ref="A21:H21"/>
    <mergeCell ref="A20:H20"/>
    <mergeCell ref="A2:H2"/>
    <mergeCell ref="A10:H10"/>
    <mergeCell ref="A13:H13"/>
    <mergeCell ref="A11:H11"/>
  </mergeCells>
  <phoneticPr fontId="11" type="noConversion"/>
  <pageMargins left="0.2" right="0.2" top="0.2" bottom="0.2" header="0.5" footer="0.5"/>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pageSetUpPr fitToPage="1"/>
  </sheetPr>
  <dimension ref="A1:V28"/>
  <sheetViews>
    <sheetView showGridLines="0" workbookViewId="0">
      <pane xSplit="5" ySplit="3" topLeftCell="F4" activePane="bottomRight" state="frozen"/>
      <selection pane="topRight"/>
      <selection pane="bottomLeft"/>
      <selection pane="bottomRight" sqref="A1:V1"/>
    </sheetView>
  </sheetViews>
  <sheetFormatPr defaultRowHeight="14"/>
  <cols>
    <col min="1" max="1" width="10" customWidth="1"/>
    <col min="2" max="2" width="12" customWidth="1"/>
    <col min="3" max="3" width="26" customWidth="1"/>
    <col min="4" max="4" width="38" customWidth="1"/>
    <col min="5" max="5" width="52" customWidth="1"/>
    <col min="6" max="6" width="58" customWidth="1"/>
    <col min="7" max="7" width="16" customWidth="1"/>
    <col min="8" max="9" width="10" customWidth="1"/>
    <col min="10" max="10" width="55" customWidth="1"/>
    <col min="11" max="11" width="13" customWidth="1"/>
    <col min="12" max="12" width="15" customWidth="1"/>
    <col min="13" max="13" width="11" customWidth="1"/>
    <col min="14" max="14" width="42" customWidth="1"/>
    <col min="15" max="15" width="13" customWidth="1"/>
    <col min="16" max="16" width="15" customWidth="1"/>
    <col min="17" max="17" width="11" customWidth="1"/>
    <col min="18" max="18" width="18" customWidth="1"/>
    <col min="19" max="20" width="28" customWidth="1"/>
    <col min="21" max="21" width="12" customWidth="1"/>
    <col min="22" max="22" width="13" customWidth="1"/>
  </cols>
  <sheetData>
    <row r="1" spans="1:22" ht="30" customHeight="1">
      <c r="A1" s="16" t="s">
        <v>26</v>
      </c>
      <c r="B1" s="13"/>
      <c r="C1" s="13"/>
      <c r="D1" s="13"/>
      <c r="E1" s="13"/>
      <c r="F1" s="13"/>
      <c r="G1" s="13"/>
      <c r="H1" s="13"/>
      <c r="I1" s="13"/>
      <c r="J1" s="13"/>
      <c r="K1" s="13"/>
      <c r="L1" s="13"/>
      <c r="M1" s="13"/>
      <c r="N1" s="13"/>
      <c r="O1" s="13"/>
      <c r="P1" s="13"/>
      <c r="Q1" s="13"/>
      <c r="R1" s="13"/>
      <c r="S1" s="13"/>
      <c r="T1" s="13"/>
      <c r="U1" s="13"/>
      <c r="V1" s="13"/>
    </row>
    <row r="2" spans="1:22" ht="28" customHeight="1">
      <c r="A2" s="15" t="s">
        <v>27</v>
      </c>
      <c r="B2" s="13"/>
      <c r="C2" s="13"/>
      <c r="D2" s="13"/>
      <c r="E2" s="13"/>
      <c r="F2" s="13"/>
      <c r="G2" s="13"/>
      <c r="H2" s="13"/>
      <c r="I2" s="13"/>
      <c r="J2" s="13"/>
      <c r="K2" s="13"/>
      <c r="L2" s="13"/>
      <c r="M2" s="13"/>
      <c r="N2" s="13"/>
      <c r="O2" s="13"/>
      <c r="P2" s="13"/>
      <c r="Q2" s="13"/>
      <c r="R2" s="13"/>
      <c r="S2" s="13"/>
      <c r="T2" s="13"/>
      <c r="U2" s="13"/>
      <c r="V2" s="13"/>
    </row>
    <row r="3" spans="1:22" ht="32" customHeight="1">
      <c r="A3" s="8" t="s">
        <v>28</v>
      </c>
      <c r="B3" s="8" t="s">
        <v>29</v>
      </c>
      <c r="C3" s="8" t="s">
        <v>30</v>
      </c>
      <c r="D3" s="8" t="s">
        <v>31</v>
      </c>
      <c r="E3" s="8" t="s">
        <v>32</v>
      </c>
      <c r="F3" s="8" t="s">
        <v>33</v>
      </c>
      <c r="G3" s="8" t="s">
        <v>34</v>
      </c>
      <c r="H3" s="8" t="s">
        <v>35</v>
      </c>
      <c r="I3" s="8" t="s">
        <v>36</v>
      </c>
      <c r="J3" s="8" t="s">
        <v>37</v>
      </c>
      <c r="K3" s="8" t="s">
        <v>38</v>
      </c>
      <c r="L3" s="8" t="s">
        <v>7</v>
      </c>
      <c r="M3" s="8" t="s">
        <v>39</v>
      </c>
      <c r="N3" s="8" t="s">
        <v>40</v>
      </c>
      <c r="O3" s="8" t="s">
        <v>41</v>
      </c>
      <c r="P3" s="8" t="s">
        <v>11</v>
      </c>
      <c r="Q3" s="8" t="s">
        <v>42</v>
      </c>
      <c r="R3" s="8" t="s">
        <v>43</v>
      </c>
      <c r="S3" s="8" t="s">
        <v>44</v>
      </c>
      <c r="T3" s="8" t="s">
        <v>45</v>
      </c>
      <c r="U3" s="8" t="s">
        <v>46</v>
      </c>
      <c r="V3" s="8" t="s">
        <v>47</v>
      </c>
    </row>
    <row r="4" spans="1:22" ht="105" customHeight="1">
      <c r="A4" s="9" t="s">
        <v>48</v>
      </c>
      <c r="B4" s="9" t="s">
        <v>49</v>
      </c>
      <c r="C4" s="9" t="s">
        <v>50</v>
      </c>
      <c r="D4" s="9" t="s">
        <v>51</v>
      </c>
      <c r="E4" s="9" t="s">
        <v>52</v>
      </c>
      <c r="F4" s="9" t="s">
        <v>53</v>
      </c>
      <c r="G4" s="9" t="s">
        <v>54</v>
      </c>
      <c r="H4" s="9">
        <v>0</v>
      </c>
      <c r="I4" s="9">
        <v>0</v>
      </c>
      <c r="J4" s="9" t="s">
        <v>55</v>
      </c>
      <c r="K4" s="9">
        <v>0</v>
      </c>
      <c r="L4" s="9">
        <v>0</v>
      </c>
      <c r="M4" s="9">
        <v>0</v>
      </c>
      <c r="N4" s="9" t="s">
        <v>56</v>
      </c>
      <c r="O4" s="10">
        <v>0</v>
      </c>
      <c r="P4" s="10">
        <v>0</v>
      </c>
      <c r="Q4" s="10">
        <v>0</v>
      </c>
      <c r="R4" s="10" t="s">
        <v>57</v>
      </c>
      <c r="S4" s="10" t="s">
        <v>58</v>
      </c>
      <c r="T4" s="10" t="s">
        <v>59</v>
      </c>
      <c r="U4" s="10" t="s">
        <v>60</v>
      </c>
      <c r="V4" s="9" t="str">
        <f t="shared" ref="V4:V28" si="0">IF(U4&lt;&gt;"已确认","待复核",IF(AND(K4=O4,L4=P4,M4=Q4),"一致","不一致"))</f>
        <v>一致</v>
      </c>
    </row>
    <row r="5" spans="1:22" ht="105" customHeight="1">
      <c r="A5" s="9" t="s">
        <v>61</v>
      </c>
      <c r="B5" s="9" t="s">
        <v>49</v>
      </c>
      <c r="C5" s="9" t="s">
        <v>62</v>
      </c>
      <c r="D5" s="9" t="s">
        <v>63</v>
      </c>
      <c r="E5" s="9" t="s">
        <v>64</v>
      </c>
      <c r="F5" s="9" t="s">
        <v>65</v>
      </c>
      <c r="G5" s="9" t="s">
        <v>54</v>
      </c>
      <c r="H5" s="9">
        <v>0</v>
      </c>
      <c r="I5" s="9">
        <v>0</v>
      </c>
      <c r="J5" s="9" t="s">
        <v>66</v>
      </c>
      <c r="K5" s="9">
        <v>1</v>
      </c>
      <c r="L5" s="9">
        <v>0</v>
      </c>
      <c r="M5" s="9">
        <v>0</v>
      </c>
      <c r="N5" s="9" t="s">
        <v>67</v>
      </c>
      <c r="O5" s="10">
        <v>0</v>
      </c>
      <c r="P5" s="10">
        <v>0</v>
      </c>
      <c r="Q5" s="10">
        <v>1</v>
      </c>
      <c r="R5" s="10" t="s">
        <v>57</v>
      </c>
      <c r="S5" s="10" t="s">
        <v>68</v>
      </c>
      <c r="T5" s="10" t="s">
        <v>69</v>
      </c>
      <c r="U5" s="10" t="s">
        <v>60</v>
      </c>
      <c r="V5" s="9" t="str">
        <f t="shared" si="0"/>
        <v>不一致</v>
      </c>
    </row>
    <row r="6" spans="1:22" ht="105" customHeight="1">
      <c r="A6" s="9" t="s">
        <v>70</v>
      </c>
      <c r="B6" s="9" t="s">
        <v>49</v>
      </c>
      <c r="C6" s="9" t="s">
        <v>71</v>
      </c>
      <c r="D6" s="9" t="s">
        <v>72</v>
      </c>
      <c r="E6" s="9" t="s">
        <v>73</v>
      </c>
      <c r="F6" s="9" t="s">
        <v>74</v>
      </c>
      <c r="G6" s="9" t="s">
        <v>75</v>
      </c>
      <c r="H6" s="9">
        <v>0</v>
      </c>
      <c r="I6" s="9">
        <v>0</v>
      </c>
      <c r="J6" s="9" t="s">
        <v>76</v>
      </c>
      <c r="K6" s="9">
        <v>0</v>
      </c>
      <c r="L6" s="9">
        <v>0</v>
      </c>
      <c r="M6" s="9">
        <v>0</v>
      </c>
      <c r="N6" s="9" t="s">
        <v>77</v>
      </c>
      <c r="O6" s="10">
        <v>0</v>
      </c>
      <c r="P6" s="10">
        <v>0</v>
      </c>
      <c r="Q6" s="10">
        <v>0</v>
      </c>
      <c r="R6" s="10" t="s">
        <v>57</v>
      </c>
      <c r="S6" s="10" t="s">
        <v>78</v>
      </c>
      <c r="T6" s="10" t="s">
        <v>79</v>
      </c>
      <c r="U6" s="10" t="s">
        <v>60</v>
      </c>
      <c r="V6" s="9" t="str">
        <f t="shared" si="0"/>
        <v>一致</v>
      </c>
    </row>
    <row r="7" spans="1:22" ht="105" customHeight="1">
      <c r="A7" s="9" t="s">
        <v>80</v>
      </c>
      <c r="B7" s="9" t="s">
        <v>49</v>
      </c>
      <c r="C7" s="9" t="s">
        <v>81</v>
      </c>
      <c r="D7" s="9" t="s">
        <v>82</v>
      </c>
      <c r="E7" s="9" t="s">
        <v>83</v>
      </c>
      <c r="F7" s="9" t="s">
        <v>84</v>
      </c>
      <c r="G7" s="9" t="s">
        <v>85</v>
      </c>
      <c r="H7" s="9">
        <v>0</v>
      </c>
      <c r="I7" s="9">
        <v>0</v>
      </c>
      <c r="J7" s="9" t="s">
        <v>86</v>
      </c>
      <c r="K7" s="9">
        <v>0</v>
      </c>
      <c r="L7" s="9">
        <v>0</v>
      </c>
      <c r="M7" s="9">
        <v>0</v>
      </c>
      <c r="N7" s="9" t="s">
        <v>87</v>
      </c>
      <c r="O7" s="10">
        <v>0</v>
      </c>
      <c r="P7" s="10">
        <v>0</v>
      </c>
      <c r="Q7" s="10">
        <v>0</v>
      </c>
      <c r="R7" s="10" t="s">
        <v>57</v>
      </c>
      <c r="S7" s="10" t="s">
        <v>88</v>
      </c>
      <c r="T7" s="10" t="s">
        <v>89</v>
      </c>
      <c r="U7" s="10" t="s">
        <v>60</v>
      </c>
      <c r="V7" s="9" t="str">
        <f t="shared" si="0"/>
        <v>一致</v>
      </c>
    </row>
    <row r="8" spans="1:22" ht="105" customHeight="1">
      <c r="A8" s="9" t="s">
        <v>90</v>
      </c>
      <c r="B8" s="9" t="s">
        <v>49</v>
      </c>
      <c r="C8" s="9" t="s">
        <v>91</v>
      </c>
      <c r="D8" s="9" t="s">
        <v>92</v>
      </c>
      <c r="E8" s="9" t="s">
        <v>93</v>
      </c>
      <c r="F8" s="9" t="s">
        <v>94</v>
      </c>
      <c r="G8" s="9" t="s">
        <v>54</v>
      </c>
      <c r="H8" s="9">
        <v>0</v>
      </c>
      <c r="I8" s="9">
        <v>0</v>
      </c>
      <c r="J8" s="9" t="s">
        <v>95</v>
      </c>
      <c r="K8" s="9">
        <v>0</v>
      </c>
      <c r="L8" s="9">
        <v>0</v>
      </c>
      <c r="M8" s="9">
        <v>1</v>
      </c>
      <c r="N8" s="9" t="s">
        <v>96</v>
      </c>
      <c r="O8" s="10">
        <v>0</v>
      </c>
      <c r="P8" s="10">
        <v>0</v>
      </c>
      <c r="Q8" s="10">
        <v>1</v>
      </c>
      <c r="R8" s="10" t="s">
        <v>57</v>
      </c>
      <c r="S8" s="10" t="s">
        <v>97</v>
      </c>
      <c r="T8" s="10" t="s">
        <v>98</v>
      </c>
      <c r="U8" s="10" t="s">
        <v>60</v>
      </c>
      <c r="V8" s="9" t="str">
        <f t="shared" si="0"/>
        <v>一致</v>
      </c>
    </row>
    <row r="9" spans="1:22" ht="105" customHeight="1">
      <c r="A9" s="9" t="s">
        <v>99</v>
      </c>
      <c r="B9" s="9" t="s">
        <v>100</v>
      </c>
      <c r="C9" s="9" t="s">
        <v>101</v>
      </c>
      <c r="D9" s="9" t="s">
        <v>102</v>
      </c>
      <c r="E9" s="9" t="s">
        <v>103</v>
      </c>
      <c r="F9" s="9" t="s">
        <v>104</v>
      </c>
      <c r="G9" s="9" t="s">
        <v>54</v>
      </c>
      <c r="H9" s="9">
        <v>0</v>
      </c>
      <c r="I9" s="9">
        <v>0</v>
      </c>
      <c r="J9" s="9" t="s">
        <v>105</v>
      </c>
      <c r="K9" s="9">
        <v>0</v>
      </c>
      <c r="L9" s="9">
        <v>0</v>
      </c>
      <c r="M9" s="9">
        <v>0</v>
      </c>
      <c r="N9" s="9" t="s">
        <v>106</v>
      </c>
      <c r="O9" s="10">
        <v>0</v>
      </c>
      <c r="P9" s="10">
        <v>0</v>
      </c>
      <c r="Q9" s="10">
        <v>1</v>
      </c>
      <c r="R9" s="10" t="s">
        <v>57</v>
      </c>
      <c r="S9" s="10" t="s">
        <v>107</v>
      </c>
      <c r="T9" s="10" t="s">
        <v>108</v>
      </c>
      <c r="U9" s="10" t="s">
        <v>60</v>
      </c>
      <c r="V9" s="9" t="str">
        <f t="shared" si="0"/>
        <v>不一致</v>
      </c>
    </row>
    <row r="10" spans="1:22" ht="105" customHeight="1">
      <c r="A10" s="9" t="s">
        <v>109</v>
      </c>
      <c r="B10" s="9" t="s">
        <v>75</v>
      </c>
      <c r="C10" s="9" t="s">
        <v>110</v>
      </c>
      <c r="D10" s="9" t="s">
        <v>111</v>
      </c>
      <c r="E10" s="9" t="s">
        <v>112</v>
      </c>
      <c r="F10" s="9" t="s">
        <v>113</v>
      </c>
      <c r="G10" s="9" t="s">
        <v>75</v>
      </c>
      <c r="H10" s="9">
        <v>1</v>
      </c>
      <c r="I10" s="9">
        <v>1</v>
      </c>
      <c r="J10" s="9" t="s">
        <v>114</v>
      </c>
      <c r="K10" s="9">
        <v>0</v>
      </c>
      <c r="L10" s="9">
        <v>1</v>
      </c>
      <c r="M10" s="9">
        <v>1</v>
      </c>
      <c r="N10" s="9" t="s">
        <v>115</v>
      </c>
      <c r="O10" s="10">
        <v>0</v>
      </c>
      <c r="P10" s="10">
        <v>0</v>
      </c>
      <c r="Q10" s="10">
        <v>1</v>
      </c>
      <c r="R10" s="10" t="s">
        <v>57</v>
      </c>
      <c r="S10" s="10" t="s">
        <v>116</v>
      </c>
      <c r="T10" s="10" t="s">
        <v>117</v>
      </c>
      <c r="U10" s="10" t="s">
        <v>60</v>
      </c>
      <c r="V10" s="9" t="str">
        <f t="shared" si="0"/>
        <v>不一致</v>
      </c>
    </row>
    <row r="11" spans="1:22" ht="105" customHeight="1">
      <c r="A11" s="9" t="s">
        <v>118</v>
      </c>
      <c r="B11" s="9" t="s">
        <v>75</v>
      </c>
      <c r="C11" s="9" t="s">
        <v>119</v>
      </c>
      <c r="D11" s="9" t="s">
        <v>120</v>
      </c>
      <c r="E11" s="9" t="s">
        <v>121</v>
      </c>
      <c r="F11" s="9" t="s">
        <v>122</v>
      </c>
      <c r="G11" s="9" t="s">
        <v>75</v>
      </c>
      <c r="H11" s="9">
        <v>1</v>
      </c>
      <c r="I11" s="9">
        <v>1</v>
      </c>
      <c r="J11" s="9" t="s">
        <v>123</v>
      </c>
      <c r="K11" s="9">
        <v>1</v>
      </c>
      <c r="L11" s="9">
        <v>2</v>
      </c>
      <c r="M11" s="9">
        <v>1</v>
      </c>
      <c r="N11" s="9" t="s">
        <v>124</v>
      </c>
      <c r="O11" s="10">
        <v>1</v>
      </c>
      <c r="P11" s="10">
        <v>2</v>
      </c>
      <c r="Q11" s="10">
        <v>0</v>
      </c>
      <c r="R11" s="10" t="s">
        <v>125</v>
      </c>
      <c r="S11" s="10" t="s">
        <v>126</v>
      </c>
      <c r="T11" s="10" t="s">
        <v>127</v>
      </c>
      <c r="U11" s="10" t="s">
        <v>60</v>
      </c>
      <c r="V11" s="9" t="str">
        <f t="shared" si="0"/>
        <v>不一致</v>
      </c>
    </row>
    <row r="12" spans="1:22" ht="105" customHeight="1">
      <c r="A12" s="9" t="s">
        <v>128</v>
      </c>
      <c r="B12" s="9" t="s">
        <v>75</v>
      </c>
      <c r="C12" s="9" t="s">
        <v>129</v>
      </c>
      <c r="D12" s="9" t="s">
        <v>130</v>
      </c>
      <c r="E12" s="9" t="s">
        <v>131</v>
      </c>
      <c r="F12" s="9" t="s">
        <v>132</v>
      </c>
      <c r="G12" s="9" t="s">
        <v>75</v>
      </c>
      <c r="H12" s="9">
        <v>1</v>
      </c>
      <c r="I12" s="9">
        <v>1</v>
      </c>
      <c r="J12" s="9" t="s">
        <v>133</v>
      </c>
      <c r="K12" s="9">
        <v>0</v>
      </c>
      <c r="L12" s="9">
        <v>2</v>
      </c>
      <c r="M12" s="9">
        <v>0</v>
      </c>
      <c r="N12" s="9" t="s">
        <v>134</v>
      </c>
      <c r="O12" s="10">
        <v>1</v>
      </c>
      <c r="P12" s="10">
        <v>2</v>
      </c>
      <c r="Q12" s="10">
        <v>0</v>
      </c>
      <c r="R12" s="10" t="s">
        <v>125</v>
      </c>
      <c r="S12" s="10" t="s">
        <v>135</v>
      </c>
      <c r="T12" s="10" t="s">
        <v>136</v>
      </c>
      <c r="U12" s="10" t="s">
        <v>60</v>
      </c>
      <c r="V12" s="9" t="str">
        <f t="shared" si="0"/>
        <v>不一致</v>
      </c>
    </row>
    <row r="13" spans="1:22" ht="105" customHeight="1">
      <c r="A13" s="9" t="s">
        <v>137</v>
      </c>
      <c r="B13" s="9" t="s">
        <v>75</v>
      </c>
      <c r="C13" s="9" t="s">
        <v>138</v>
      </c>
      <c r="D13" s="9" t="s">
        <v>139</v>
      </c>
      <c r="E13" s="9" t="s">
        <v>140</v>
      </c>
      <c r="F13" s="9" t="s">
        <v>141</v>
      </c>
      <c r="G13" s="9" t="s">
        <v>85</v>
      </c>
      <c r="H13" s="9">
        <v>0</v>
      </c>
      <c r="I13" s="9">
        <v>1</v>
      </c>
      <c r="J13" s="9" t="s">
        <v>142</v>
      </c>
      <c r="K13" s="9">
        <v>0</v>
      </c>
      <c r="L13" s="9">
        <v>2</v>
      </c>
      <c r="M13" s="9">
        <v>0</v>
      </c>
      <c r="N13" s="9" t="s">
        <v>143</v>
      </c>
      <c r="O13" s="10">
        <v>0</v>
      </c>
      <c r="P13" s="10">
        <v>2</v>
      </c>
      <c r="Q13" s="10">
        <v>0</v>
      </c>
      <c r="R13" s="10" t="s">
        <v>57</v>
      </c>
      <c r="S13" s="10" t="s">
        <v>144</v>
      </c>
      <c r="T13" s="10" t="s">
        <v>145</v>
      </c>
      <c r="U13" s="10" t="s">
        <v>60</v>
      </c>
      <c r="V13" s="9" t="str">
        <f t="shared" si="0"/>
        <v>一致</v>
      </c>
    </row>
    <row r="14" spans="1:22" ht="105" customHeight="1">
      <c r="A14" s="9" t="s">
        <v>146</v>
      </c>
      <c r="B14" s="9" t="s">
        <v>75</v>
      </c>
      <c r="C14" s="9" t="s">
        <v>147</v>
      </c>
      <c r="D14" s="9" t="s">
        <v>148</v>
      </c>
      <c r="E14" s="9" t="s">
        <v>149</v>
      </c>
      <c r="F14" s="9" t="s">
        <v>53</v>
      </c>
      <c r="G14" s="9" t="s">
        <v>85</v>
      </c>
      <c r="H14" s="9">
        <v>0</v>
      </c>
      <c r="I14" s="9">
        <v>1</v>
      </c>
      <c r="J14" s="9" t="s">
        <v>150</v>
      </c>
      <c r="K14" s="9">
        <v>0</v>
      </c>
      <c r="L14" s="9">
        <v>0</v>
      </c>
      <c r="M14" s="9">
        <v>0</v>
      </c>
      <c r="N14" s="9" t="s">
        <v>151</v>
      </c>
      <c r="O14" s="10">
        <v>0</v>
      </c>
      <c r="P14" s="10">
        <v>0</v>
      </c>
      <c r="Q14" s="10">
        <v>0</v>
      </c>
      <c r="R14" s="10" t="s">
        <v>57</v>
      </c>
      <c r="S14" s="10" t="s">
        <v>152</v>
      </c>
      <c r="T14" s="10" t="s">
        <v>153</v>
      </c>
      <c r="U14" s="10" t="s">
        <v>60</v>
      </c>
      <c r="V14" s="9" t="str">
        <f t="shared" si="0"/>
        <v>一致</v>
      </c>
    </row>
    <row r="15" spans="1:22" ht="105" customHeight="1">
      <c r="A15" s="9" t="s">
        <v>154</v>
      </c>
      <c r="B15" s="9" t="s">
        <v>54</v>
      </c>
      <c r="C15" s="9" t="s">
        <v>155</v>
      </c>
      <c r="D15" s="9" t="s">
        <v>156</v>
      </c>
      <c r="E15" s="9" t="s">
        <v>157</v>
      </c>
      <c r="F15" s="9" t="s">
        <v>158</v>
      </c>
      <c r="G15" s="9" t="s">
        <v>54</v>
      </c>
      <c r="H15" s="9">
        <v>1</v>
      </c>
      <c r="I15" s="9">
        <v>1</v>
      </c>
      <c r="J15" s="9" t="s">
        <v>159</v>
      </c>
      <c r="K15" s="9">
        <v>0</v>
      </c>
      <c r="L15" s="9">
        <v>1</v>
      </c>
      <c r="M15" s="9">
        <v>1</v>
      </c>
      <c r="N15" s="9" t="s">
        <v>160</v>
      </c>
      <c r="O15" s="10">
        <v>1</v>
      </c>
      <c r="P15" s="10">
        <v>1</v>
      </c>
      <c r="Q15" s="10">
        <v>0</v>
      </c>
      <c r="R15" s="10" t="s">
        <v>161</v>
      </c>
      <c r="S15" s="10" t="s">
        <v>162</v>
      </c>
      <c r="T15" s="10" t="s">
        <v>163</v>
      </c>
      <c r="U15" s="10" t="s">
        <v>60</v>
      </c>
      <c r="V15" s="9" t="str">
        <f t="shared" si="0"/>
        <v>不一致</v>
      </c>
    </row>
    <row r="16" spans="1:22" ht="105" customHeight="1">
      <c r="A16" s="9" t="s">
        <v>164</v>
      </c>
      <c r="B16" s="9" t="s">
        <v>54</v>
      </c>
      <c r="C16" s="9" t="s">
        <v>165</v>
      </c>
      <c r="D16" s="9" t="s">
        <v>166</v>
      </c>
      <c r="E16" s="9" t="s">
        <v>167</v>
      </c>
      <c r="F16" s="9" t="s">
        <v>168</v>
      </c>
      <c r="G16" s="9" t="s">
        <v>54</v>
      </c>
      <c r="H16" s="9">
        <v>1</v>
      </c>
      <c r="I16" s="9">
        <v>1</v>
      </c>
      <c r="J16" s="9" t="s">
        <v>169</v>
      </c>
      <c r="K16" s="9">
        <v>0</v>
      </c>
      <c r="L16" s="9">
        <v>2</v>
      </c>
      <c r="M16" s="9">
        <v>1</v>
      </c>
      <c r="N16" s="9" t="s">
        <v>170</v>
      </c>
      <c r="O16" s="10">
        <v>1</v>
      </c>
      <c r="P16" s="10">
        <v>1</v>
      </c>
      <c r="Q16" s="10">
        <v>0</v>
      </c>
      <c r="R16" s="10" t="s">
        <v>161</v>
      </c>
      <c r="S16" s="10" t="s">
        <v>171</v>
      </c>
      <c r="T16" s="10" t="s">
        <v>172</v>
      </c>
      <c r="U16" s="10" t="s">
        <v>60</v>
      </c>
      <c r="V16" s="9" t="str">
        <f t="shared" si="0"/>
        <v>不一致</v>
      </c>
    </row>
    <row r="17" spans="1:22" ht="105" customHeight="1">
      <c r="A17" s="9" t="s">
        <v>173</v>
      </c>
      <c r="B17" s="9" t="s">
        <v>54</v>
      </c>
      <c r="C17" s="9" t="s">
        <v>174</v>
      </c>
      <c r="D17" s="9" t="s">
        <v>175</v>
      </c>
      <c r="E17" s="9" t="s">
        <v>176</v>
      </c>
      <c r="F17" s="9" t="s">
        <v>177</v>
      </c>
      <c r="G17" s="9" t="s">
        <v>54</v>
      </c>
      <c r="H17" s="9">
        <v>1</v>
      </c>
      <c r="I17" s="9">
        <v>1</v>
      </c>
      <c r="J17" s="9" t="s">
        <v>178</v>
      </c>
      <c r="K17" s="9">
        <v>0</v>
      </c>
      <c r="L17" s="9">
        <v>1</v>
      </c>
      <c r="M17" s="9">
        <v>0</v>
      </c>
      <c r="N17" s="9" t="s">
        <v>179</v>
      </c>
      <c r="O17" s="10">
        <v>1</v>
      </c>
      <c r="P17" s="10">
        <v>1</v>
      </c>
      <c r="Q17" s="10">
        <v>0</v>
      </c>
      <c r="R17" s="10" t="s">
        <v>161</v>
      </c>
      <c r="S17" s="10" t="s">
        <v>180</v>
      </c>
      <c r="T17" s="10" t="s">
        <v>181</v>
      </c>
      <c r="U17" s="10" t="s">
        <v>60</v>
      </c>
      <c r="V17" s="9" t="str">
        <f t="shared" si="0"/>
        <v>不一致</v>
      </c>
    </row>
    <row r="18" spans="1:22" ht="105" customHeight="1">
      <c r="A18" s="9" t="s">
        <v>182</v>
      </c>
      <c r="B18" s="9" t="s">
        <v>54</v>
      </c>
      <c r="C18" s="9" t="s">
        <v>183</v>
      </c>
      <c r="D18" s="9" t="s">
        <v>184</v>
      </c>
      <c r="E18" s="9" t="s">
        <v>185</v>
      </c>
      <c r="F18" s="9" t="s">
        <v>186</v>
      </c>
      <c r="G18" s="9" t="s">
        <v>54</v>
      </c>
      <c r="H18" s="9">
        <v>1</v>
      </c>
      <c r="I18" s="9">
        <v>1</v>
      </c>
      <c r="J18" s="9" t="s">
        <v>187</v>
      </c>
      <c r="K18" s="9">
        <v>1</v>
      </c>
      <c r="L18" s="9">
        <v>2</v>
      </c>
      <c r="M18" s="9">
        <v>1</v>
      </c>
      <c r="N18" s="9" t="s">
        <v>188</v>
      </c>
      <c r="O18" s="10">
        <v>1</v>
      </c>
      <c r="P18" s="10">
        <v>2</v>
      </c>
      <c r="Q18" s="10">
        <v>0</v>
      </c>
      <c r="R18" s="10" t="s">
        <v>125</v>
      </c>
      <c r="S18" s="10" t="s">
        <v>189</v>
      </c>
      <c r="T18" s="10" t="s">
        <v>190</v>
      </c>
      <c r="U18" s="10" t="s">
        <v>60</v>
      </c>
      <c r="V18" s="9" t="str">
        <f t="shared" si="0"/>
        <v>不一致</v>
      </c>
    </row>
    <row r="19" spans="1:22" ht="105" customHeight="1">
      <c r="A19" s="9" t="s">
        <v>191</v>
      </c>
      <c r="B19" s="9" t="s">
        <v>54</v>
      </c>
      <c r="C19" s="9" t="s">
        <v>192</v>
      </c>
      <c r="D19" s="9" t="s">
        <v>193</v>
      </c>
      <c r="E19" s="9" t="s">
        <v>194</v>
      </c>
      <c r="F19" s="9" t="s">
        <v>195</v>
      </c>
      <c r="G19" s="9" t="s">
        <v>54</v>
      </c>
      <c r="H19" s="9">
        <v>1</v>
      </c>
      <c r="I19" s="9">
        <v>1</v>
      </c>
      <c r="J19" s="9" t="s">
        <v>196</v>
      </c>
      <c r="K19" s="9">
        <v>0</v>
      </c>
      <c r="L19" s="9">
        <v>1</v>
      </c>
      <c r="M19" s="9">
        <v>0</v>
      </c>
      <c r="N19" s="9" t="s">
        <v>197</v>
      </c>
      <c r="O19" s="10">
        <v>1</v>
      </c>
      <c r="P19" s="10">
        <v>1</v>
      </c>
      <c r="Q19" s="10">
        <v>0</v>
      </c>
      <c r="R19" s="10" t="s">
        <v>161</v>
      </c>
      <c r="S19" s="10" t="s">
        <v>198</v>
      </c>
      <c r="T19" s="10" t="s">
        <v>199</v>
      </c>
      <c r="U19" s="10" t="s">
        <v>60</v>
      </c>
      <c r="V19" s="9" t="str">
        <f t="shared" si="0"/>
        <v>不一致</v>
      </c>
    </row>
    <row r="20" spans="1:22" ht="105" customHeight="1">
      <c r="A20" s="9" t="s">
        <v>200</v>
      </c>
      <c r="B20" s="9" t="s">
        <v>85</v>
      </c>
      <c r="C20" s="9" t="s">
        <v>201</v>
      </c>
      <c r="D20" s="9" t="s">
        <v>202</v>
      </c>
      <c r="E20" s="9" t="s">
        <v>203</v>
      </c>
      <c r="F20" s="9" t="s">
        <v>204</v>
      </c>
      <c r="G20" s="9" t="s">
        <v>85</v>
      </c>
      <c r="H20" s="9">
        <v>1</v>
      </c>
      <c r="I20" s="9">
        <v>1</v>
      </c>
      <c r="J20" s="9" t="s">
        <v>205</v>
      </c>
      <c r="K20" s="9">
        <v>0</v>
      </c>
      <c r="L20" s="9">
        <v>1</v>
      </c>
      <c r="M20" s="9">
        <v>1</v>
      </c>
      <c r="N20" s="9" t="s">
        <v>206</v>
      </c>
      <c r="O20" s="10">
        <v>1</v>
      </c>
      <c r="P20" s="10">
        <v>1</v>
      </c>
      <c r="Q20" s="10">
        <v>0</v>
      </c>
      <c r="R20" s="10" t="s">
        <v>161</v>
      </c>
      <c r="S20" s="10" t="s">
        <v>207</v>
      </c>
      <c r="T20" s="10" t="s">
        <v>208</v>
      </c>
      <c r="U20" s="10" t="s">
        <v>60</v>
      </c>
      <c r="V20" s="9" t="str">
        <f t="shared" si="0"/>
        <v>不一致</v>
      </c>
    </row>
    <row r="21" spans="1:22" ht="105" customHeight="1">
      <c r="A21" s="9" t="s">
        <v>209</v>
      </c>
      <c r="B21" s="9" t="s">
        <v>210</v>
      </c>
      <c r="C21" s="9" t="s">
        <v>211</v>
      </c>
      <c r="D21" s="9" t="s">
        <v>212</v>
      </c>
      <c r="E21" s="9" t="s">
        <v>213</v>
      </c>
      <c r="F21" s="9" t="s">
        <v>214</v>
      </c>
      <c r="G21" s="9" t="s">
        <v>210</v>
      </c>
      <c r="H21" s="9">
        <v>1</v>
      </c>
      <c r="I21" s="9">
        <v>1</v>
      </c>
      <c r="J21" s="9" t="s">
        <v>215</v>
      </c>
      <c r="K21" s="9">
        <v>1</v>
      </c>
      <c r="L21" s="9">
        <v>2</v>
      </c>
      <c r="M21" s="9">
        <v>1</v>
      </c>
      <c r="N21" s="9" t="s">
        <v>216</v>
      </c>
      <c r="O21" s="10">
        <v>1</v>
      </c>
      <c r="P21" s="10">
        <v>2</v>
      </c>
      <c r="Q21" s="10">
        <v>0</v>
      </c>
      <c r="R21" s="10" t="s">
        <v>125</v>
      </c>
      <c r="S21" s="10" t="s">
        <v>217</v>
      </c>
      <c r="T21" s="10" t="s">
        <v>218</v>
      </c>
      <c r="U21" s="10" t="s">
        <v>60</v>
      </c>
      <c r="V21" s="9" t="str">
        <f t="shared" si="0"/>
        <v>不一致</v>
      </c>
    </row>
    <row r="22" spans="1:22" ht="105" customHeight="1">
      <c r="A22" s="9" t="s">
        <v>219</v>
      </c>
      <c r="B22" s="9" t="s">
        <v>210</v>
      </c>
      <c r="C22" s="9" t="s">
        <v>220</v>
      </c>
      <c r="D22" s="9" t="s">
        <v>221</v>
      </c>
      <c r="E22" s="9" t="s">
        <v>222</v>
      </c>
      <c r="F22" s="9" t="s">
        <v>223</v>
      </c>
      <c r="G22" s="9" t="s">
        <v>210</v>
      </c>
      <c r="H22" s="9">
        <v>1</v>
      </c>
      <c r="I22" s="9">
        <v>1</v>
      </c>
      <c r="J22" s="9" t="s">
        <v>224</v>
      </c>
      <c r="K22" s="9">
        <v>0</v>
      </c>
      <c r="L22" s="9">
        <v>1</v>
      </c>
      <c r="M22" s="9">
        <v>0</v>
      </c>
      <c r="N22" s="9" t="s">
        <v>225</v>
      </c>
      <c r="O22" s="10">
        <v>1</v>
      </c>
      <c r="P22" s="10">
        <v>1</v>
      </c>
      <c r="Q22" s="10">
        <v>0</v>
      </c>
      <c r="R22" s="10" t="s">
        <v>161</v>
      </c>
      <c r="S22" s="10" t="s">
        <v>226</v>
      </c>
      <c r="T22" s="10" t="s">
        <v>227</v>
      </c>
      <c r="U22" s="10" t="s">
        <v>60</v>
      </c>
      <c r="V22" s="9" t="str">
        <f t="shared" si="0"/>
        <v>不一致</v>
      </c>
    </row>
    <row r="23" spans="1:22" ht="105" customHeight="1">
      <c r="A23" s="9" t="s">
        <v>228</v>
      </c>
      <c r="B23" s="9" t="s">
        <v>210</v>
      </c>
      <c r="C23" s="9" t="s">
        <v>220</v>
      </c>
      <c r="D23" s="9" t="s">
        <v>229</v>
      </c>
      <c r="E23" s="9" t="s">
        <v>230</v>
      </c>
      <c r="F23" s="9" t="s">
        <v>231</v>
      </c>
      <c r="G23" s="9" t="s">
        <v>210</v>
      </c>
      <c r="H23" s="9">
        <v>1</v>
      </c>
      <c r="I23" s="9">
        <v>1</v>
      </c>
      <c r="J23" s="9" t="s">
        <v>232</v>
      </c>
      <c r="K23" s="9">
        <v>0</v>
      </c>
      <c r="L23" s="9">
        <v>1</v>
      </c>
      <c r="M23" s="9">
        <v>0</v>
      </c>
      <c r="N23" s="9" t="s">
        <v>233</v>
      </c>
      <c r="O23" s="10">
        <v>0</v>
      </c>
      <c r="P23" s="10">
        <v>1</v>
      </c>
      <c r="Q23" s="10">
        <v>0</v>
      </c>
      <c r="R23" s="10" t="s">
        <v>57</v>
      </c>
      <c r="S23" s="10" t="s">
        <v>234</v>
      </c>
      <c r="T23" s="10" t="s">
        <v>235</v>
      </c>
      <c r="U23" s="10" t="s">
        <v>60</v>
      </c>
      <c r="V23" s="9" t="str">
        <f t="shared" si="0"/>
        <v>一致</v>
      </c>
    </row>
    <row r="24" spans="1:22" ht="105" customHeight="1">
      <c r="A24" s="9" t="s">
        <v>236</v>
      </c>
      <c r="B24" s="9" t="s">
        <v>210</v>
      </c>
      <c r="C24" s="9" t="s">
        <v>237</v>
      </c>
      <c r="D24" s="9" t="s">
        <v>238</v>
      </c>
      <c r="E24" s="9" t="s">
        <v>239</v>
      </c>
      <c r="F24" s="9" t="s">
        <v>240</v>
      </c>
      <c r="G24" s="9" t="s">
        <v>75</v>
      </c>
      <c r="H24" s="9">
        <v>0</v>
      </c>
      <c r="I24" s="9">
        <v>0</v>
      </c>
      <c r="J24" s="9" t="s">
        <v>241</v>
      </c>
      <c r="K24" s="9">
        <v>1</v>
      </c>
      <c r="L24" s="9">
        <v>0</v>
      </c>
      <c r="M24" s="9">
        <v>0</v>
      </c>
      <c r="N24" s="9" t="s">
        <v>242</v>
      </c>
      <c r="O24" s="10">
        <v>0</v>
      </c>
      <c r="P24" s="10">
        <v>0</v>
      </c>
      <c r="Q24" s="10">
        <v>1</v>
      </c>
      <c r="R24" s="10" t="s">
        <v>57</v>
      </c>
      <c r="S24" s="10" t="s">
        <v>243</v>
      </c>
      <c r="T24" s="10" t="s">
        <v>244</v>
      </c>
      <c r="U24" s="10" t="s">
        <v>60</v>
      </c>
      <c r="V24" s="9" t="str">
        <f t="shared" si="0"/>
        <v>不一致</v>
      </c>
    </row>
    <row r="25" spans="1:22" ht="105" customHeight="1">
      <c r="A25" s="9" t="s">
        <v>245</v>
      </c>
      <c r="B25" s="9" t="s">
        <v>246</v>
      </c>
      <c r="C25" s="9" t="s">
        <v>247</v>
      </c>
      <c r="D25" s="9" t="s">
        <v>248</v>
      </c>
      <c r="E25" s="9" t="s">
        <v>249</v>
      </c>
      <c r="F25" s="9" t="s">
        <v>250</v>
      </c>
      <c r="G25" s="9" t="s">
        <v>54</v>
      </c>
      <c r="H25" s="9">
        <v>0</v>
      </c>
      <c r="I25" s="9">
        <v>0</v>
      </c>
      <c r="J25" s="9" t="s">
        <v>251</v>
      </c>
      <c r="K25" s="9">
        <v>0</v>
      </c>
      <c r="L25" s="9">
        <v>0</v>
      </c>
      <c r="M25" s="9">
        <v>0</v>
      </c>
      <c r="N25" s="9" t="s">
        <v>252</v>
      </c>
      <c r="O25" s="10">
        <v>0</v>
      </c>
      <c r="P25" s="10">
        <v>0</v>
      </c>
      <c r="Q25" s="10">
        <v>1</v>
      </c>
      <c r="R25" s="10" t="s">
        <v>57</v>
      </c>
      <c r="S25" s="10" t="s">
        <v>253</v>
      </c>
      <c r="T25" s="10" t="s">
        <v>254</v>
      </c>
      <c r="U25" s="10" t="s">
        <v>60</v>
      </c>
      <c r="V25" s="9" t="str">
        <f t="shared" si="0"/>
        <v>不一致</v>
      </c>
    </row>
    <row r="26" spans="1:22" ht="105" customHeight="1">
      <c r="A26" s="9" t="s">
        <v>255</v>
      </c>
      <c r="B26" s="9" t="s">
        <v>246</v>
      </c>
      <c r="C26" s="9" t="s">
        <v>256</v>
      </c>
      <c r="D26" s="9" t="s">
        <v>257</v>
      </c>
      <c r="E26" s="9" t="s">
        <v>258</v>
      </c>
      <c r="F26" s="9" t="s">
        <v>259</v>
      </c>
      <c r="G26" s="9" t="s">
        <v>75</v>
      </c>
      <c r="H26" s="9">
        <v>0</v>
      </c>
      <c r="I26" s="9">
        <v>0</v>
      </c>
      <c r="J26" s="9" t="s">
        <v>260</v>
      </c>
      <c r="K26" s="9">
        <v>0</v>
      </c>
      <c r="L26" s="9">
        <v>1</v>
      </c>
      <c r="M26" s="9">
        <v>0</v>
      </c>
      <c r="N26" s="9" t="s">
        <v>261</v>
      </c>
      <c r="O26" s="10">
        <v>1</v>
      </c>
      <c r="P26" s="10">
        <v>1</v>
      </c>
      <c r="Q26" s="10">
        <v>0</v>
      </c>
      <c r="R26" s="10" t="s">
        <v>161</v>
      </c>
      <c r="S26" s="10" t="s">
        <v>262</v>
      </c>
      <c r="T26" s="10" t="s">
        <v>263</v>
      </c>
      <c r="U26" s="10" t="s">
        <v>60</v>
      </c>
      <c r="V26" s="9" t="str">
        <f t="shared" si="0"/>
        <v>不一致</v>
      </c>
    </row>
    <row r="27" spans="1:22" ht="105" customHeight="1">
      <c r="A27" s="9" t="s">
        <v>264</v>
      </c>
      <c r="B27" s="9" t="s">
        <v>265</v>
      </c>
      <c r="C27" s="9" t="s">
        <v>266</v>
      </c>
      <c r="D27" s="9" t="s">
        <v>267</v>
      </c>
      <c r="E27" s="9" t="s">
        <v>268</v>
      </c>
      <c r="F27" s="9" t="s">
        <v>269</v>
      </c>
      <c r="G27" s="9" t="s">
        <v>54</v>
      </c>
      <c r="H27" s="9">
        <v>0</v>
      </c>
      <c r="I27" s="9">
        <v>0</v>
      </c>
      <c r="J27" s="9" t="s">
        <v>270</v>
      </c>
      <c r="K27" s="9">
        <v>0</v>
      </c>
      <c r="L27" s="9">
        <v>0</v>
      </c>
      <c r="M27" s="9">
        <v>0</v>
      </c>
      <c r="N27" s="9" t="s">
        <v>271</v>
      </c>
      <c r="O27" s="10">
        <v>0</v>
      </c>
      <c r="P27" s="10">
        <v>0</v>
      </c>
      <c r="Q27" s="10">
        <v>0</v>
      </c>
      <c r="R27" s="10" t="s">
        <v>57</v>
      </c>
      <c r="S27" s="10" t="s">
        <v>272</v>
      </c>
      <c r="T27" s="10" t="s">
        <v>273</v>
      </c>
      <c r="U27" s="10" t="s">
        <v>60</v>
      </c>
      <c r="V27" s="9" t="str">
        <f t="shared" si="0"/>
        <v>一致</v>
      </c>
    </row>
    <row r="28" spans="1:22" ht="105" customHeight="1">
      <c r="A28" s="9" t="s">
        <v>274</v>
      </c>
      <c r="B28" s="9" t="s">
        <v>275</v>
      </c>
      <c r="C28" s="9" t="s">
        <v>276</v>
      </c>
      <c r="D28" s="9" t="s">
        <v>277</v>
      </c>
      <c r="E28" s="9" t="s">
        <v>278</v>
      </c>
      <c r="F28" s="9" t="s">
        <v>53</v>
      </c>
      <c r="G28" s="9" t="s">
        <v>54</v>
      </c>
      <c r="H28" s="9">
        <v>0</v>
      </c>
      <c r="I28" s="9">
        <v>0</v>
      </c>
      <c r="J28" s="9" t="s">
        <v>279</v>
      </c>
      <c r="K28" s="9">
        <v>0</v>
      </c>
      <c r="L28" s="9">
        <v>0</v>
      </c>
      <c r="M28" s="9">
        <v>0</v>
      </c>
      <c r="N28" s="9" t="s">
        <v>280</v>
      </c>
      <c r="O28" s="10">
        <v>0</v>
      </c>
      <c r="P28" s="10">
        <v>0</v>
      </c>
      <c r="Q28" s="10">
        <v>0</v>
      </c>
      <c r="R28" s="10" t="s">
        <v>57</v>
      </c>
      <c r="S28" s="10" t="s">
        <v>281</v>
      </c>
      <c r="T28" s="10" t="s">
        <v>282</v>
      </c>
      <c r="U28" s="10" t="s">
        <v>60</v>
      </c>
      <c r="V28" s="9" t="str">
        <f t="shared" si="0"/>
        <v>一致</v>
      </c>
    </row>
  </sheetData>
  <autoFilter ref="A3:V28" xr:uid="{00000000-0009-0000-0000-000001000000}"/>
  <mergeCells count="2">
    <mergeCell ref="A2:V2"/>
    <mergeCell ref="A1:V1"/>
  </mergeCells>
  <phoneticPr fontId="11" type="noConversion"/>
  <conditionalFormatting sqref="K4:L28">
    <cfRule type="cellIs" dxfId="4" priority="1" operator="equal">
      <formula>0</formula>
    </cfRule>
  </conditionalFormatting>
  <conditionalFormatting sqref="L4:L28">
    <cfRule type="cellIs" dxfId="3" priority="4" operator="equal">
      <formula>2</formula>
    </cfRule>
  </conditionalFormatting>
  <conditionalFormatting sqref="L4:M28">
    <cfRule type="cellIs" dxfId="2" priority="3" operator="equal">
      <formula>1</formula>
    </cfRule>
  </conditionalFormatting>
  <conditionalFormatting sqref="V4:V28">
    <cfRule type="expression" dxfId="1" priority="6">
      <formula>V4="不一致"</formula>
    </cfRule>
    <cfRule type="expression" dxfId="0" priority="7">
      <formula>V4="一致"</formula>
    </cfRule>
  </conditionalFormatting>
  <dataValidations count="4">
    <dataValidation type="list" allowBlank="1" sqref="O4:O28 Q4:Q28" xr:uid="{00000000-0002-0000-0100-000000000000}">
      <formula1>"0,1"</formula1>
    </dataValidation>
    <dataValidation type="list" allowBlank="1" sqref="P4:P28" xr:uid="{00000000-0002-0000-0100-000001000000}">
      <formula1>"0,1,2"</formula1>
    </dataValidation>
    <dataValidation type="list" allowBlank="1" sqref="R4:R28" xr:uid="{00000000-0002-0000-0100-000002000000}">
      <formula1>"检索未命中,切片不完整,回答未利用证据,回答遗漏,模型无依据扩展,自动裁判误判,标准答案需修订,其他"</formula1>
    </dataValidation>
    <dataValidation type="list" sqref="U4:U28" xr:uid="{00000000-0002-0000-0100-000003000000}">
      <formula1>"待复核,已确认,需讨论"</formula1>
    </dataValidation>
  </dataValidations>
  <pageMargins left="0.2" right="0.2" top="0.2" bottom="0.2" header="0.5" footer="0.5"/>
  <pageSetup paperSize="9" scale="81"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6B78"/>
  </sheetPr>
  <dimension ref="A1:H203"/>
  <sheetViews>
    <sheetView showGridLines="0" workbookViewId="0">
      <pane xSplit="6" ySplit="3" topLeftCell="G4" activePane="bottomRight" state="frozen"/>
      <selection pane="topRight"/>
      <selection pane="bottomLeft"/>
      <selection pane="bottomRight"/>
    </sheetView>
  </sheetViews>
  <sheetFormatPr defaultRowHeight="14"/>
  <cols>
    <col min="1" max="2" width="10" customWidth="1"/>
    <col min="3" max="3" width="12" customWidth="1"/>
    <col min="4" max="4" width="48" customWidth="1"/>
    <col min="5" max="5" width="12" customWidth="1"/>
    <col min="6" max="6" width="20" customWidth="1"/>
    <col min="7" max="7" width="95" customWidth="1"/>
    <col min="8" max="8" width="32" customWidth="1"/>
  </cols>
  <sheetData>
    <row r="1" spans="1:8" ht="30" customHeight="1">
      <c r="A1" s="16" t="s">
        <v>283</v>
      </c>
      <c r="B1" s="13"/>
      <c r="C1" s="13"/>
      <c r="D1" s="13"/>
      <c r="E1" s="13"/>
      <c r="F1" s="13"/>
      <c r="G1" s="13"/>
      <c r="H1" s="13"/>
    </row>
    <row r="2" spans="1:8" ht="14.5" customHeight="1">
      <c r="A2" s="17" t="s">
        <v>284</v>
      </c>
      <c r="B2" s="13"/>
      <c r="C2" s="13"/>
      <c r="D2" s="13"/>
      <c r="E2" s="13"/>
      <c r="F2" s="13"/>
      <c r="G2" s="13"/>
      <c r="H2" s="13"/>
    </row>
    <row r="3" spans="1:8" ht="32" customHeight="1">
      <c r="A3" s="8" t="s">
        <v>28</v>
      </c>
      <c r="B3" s="8" t="s">
        <v>285</v>
      </c>
      <c r="C3" s="8" t="s">
        <v>286</v>
      </c>
      <c r="D3" s="8" t="s">
        <v>287</v>
      </c>
      <c r="E3" s="8" t="s">
        <v>288</v>
      </c>
      <c r="F3" s="8" t="s">
        <v>289</v>
      </c>
      <c r="G3" s="8" t="s">
        <v>290</v>
      </c>
      <c r="H3" s="8" t="s">
        <v>291</v>
      </c>
    </row>
    <row r="4" spans="1:8" ht="65" customHeight="1">
      <c r="A4" s="9" t="s">
        <v>48</v>
      </c>
      <c r="B4" s="9">
        <v>1</v>
      </c>
      <c r="C4" s="9" t="s">
        <v>54</v>
      </c>
      <c r="D4" s="9" t="s">
        <v>292</v>
      </c>
      <c r="E4" s="11">
        <v>0.38280944944468293</v>
      </c>
      <c r="F4" s="9" t="s">
        <v>293</v>
      </c>
      <c r="G4" s="9" t="s">
        <v>294</v>
      </c>
      <c r="H4" s="9" t="s">
        <v>295</v>
      </c>
    </row>
    <row r="5" spans="1:8" ht="65" customHeight="1">
      <c r="A5" s="9" t="s">
        <v>48</v>
      </c>
      <c r="B5" s="9">
        <v>2</v>
      </c>
      <c r="C5" s="9" t="s">
        <v>75</v>
      </c>
      <c r="D5" s="9" t="s">
        <v>296</v>
      </c>
      <c r="E5" s="11">
        <v>0.32155231919744642</v>
      </c>
      <c r="F5" s="9" t="s">
        <v>297</v>
      </c>
      <c r="G5" s="9" t="s">
        <v>298</v>
      </c>
      <c r="H5" s="9" t="s">
        <v>299</v>
      </c>
    </row>
    <row r="6" spans="1:8" ht="65" customHeight="1">
      <c r="A6" s="9" t="s">
        <v>48</v>
      </c>
      <c r="B6" s="9">
        <v>3</v>
      </c>
      <c r="C6" s="9" t="s">
        <v>54</v>
      </c>
      <c r="D6" s="9" t="s">
        <v>300</v>
      </c>
      <c r="E6" s="11">
        <v>0.2947288605705119</v>
      </c>
      <c r="F6" s="9" t="s">
        <v>301</v>
      </c>
      <c r="G6" s="9" t="s">
        <v>302</v>
      </c>
      <c r="H6" s="9" t="s">
        <v>303</v>
      </c>
    </row>
    <row r="7" spans="1:8" ht="65" customHeight="1">
      <c r="A7" s="9" t="s">
        <v>48</v>
      </c>
      <c r="B7" s="9">
        <v>4</v>
      </c>
      <c r="C7" s="9" t="s">
        <v>85</v>
      </c>
      <c r="D7" s="9" t="s">
        <v>304</v>
      </c>
      <c r="E7" s="11">
        <v>0.28667752824793952</v>
      </c>
      <c r="F7" s="9" t="s">
        <v>305</v>
      </c>
      <c r="G7" s="9" t="s">
        <v>306</v>
      </c>
      <c r="H7" s="9" t="s">
        <v>307</v>
      </c>
    </row>
    <row r="8" spans="1:8" ht="65" customHeight="1">
      <c r="A8" s="9" t="s">
        <v>48</v>
      </c>
      <c r="B8" s="9">
        <v>5</v>
      </c>
      <c r="C8" s="9" t="s">
        <v>54</v>
      </c>
      <c r="D8" s="9" t="s">
        <v>300</v>
      </c>
      <c r="E8" s="11">
        <v>0.28653225709115498</v>
      </c>
      <c r="F8" s="9" t="s">
        <v>308</v>
      </c>
      <c r="G8" s="9" t="s">
        <v>309</v>
      </c>
      <c r="H8" s="9" t="s">
        <v>310</v>
      </c>
    </row>
    <row r="9" spans="1:8" ht="65" customHeight="1">
      <c r="A9" s="9" t="s">
        <v>48</v>
      </c>
      <c r="B9" s="9">
        <v>6</v>
      </c>
      <c r="C9" s="9" t="s">
        <v>75</v>
      </c>
      <c r="D9" s="9" t="s">
        <v>296</v>
      </c>
      <c r="E9" s="11">
        <v>0.28046117575936552</v>
      </c>
      <c r="F9" s="9" t="s">
        <v>311</v>
      </c>
      <c r="G9" s="9" t="s">
        <v>312</v>
      </c>
      <c r="H9" s="9" t="s">
        <v>313</v>
      </c>
    </row>
    <row r="10" spans="1:8" ht="65" customHeight="1">
      <c r="A10" s="9" t="s">
        <v>48</v>
      </c>
      <c r="B10" s="9">
        <v>7</v>
      </c>
      <c r="C10" s="9" t="s">
        <v>85</v>
      </c>
      <c r="D10" s="9" t="s">
        <v>304</v>
      </c>
      <c r="E10" s="11">
        <v>0.27911398461252351</v>
      </c>
      <c r="F10" s="9" t="s">
        <v>314</v>
      </c>
      <c r="G10" s="9" t="s">
        <v>315</v>
      </c>
      <c r="H10" s="9" t="s">
        <v>316</v>
      </c>
    </row>
    <row r="11" spans="1:8" ht="65" customHeight="1">
      <c r="A11" s="9" t="s">
        <v>48</v>
      </c>
      <c r="B11" s="9">
        <v>8</v>
      </c>
      <c r="C11" s="9" t="s">
        <v>246</v>
      </c>
      <c r="D11" s="9" t="s">
        <v>317</v>
      </c>
      <c r="E11" s="11">
        <v>0.27836060064730023</v>
      </c>
      <c r="F11" s="9" t="s">
        <v>318</v>
      </c>
      <c r="G11" s="9" t="s">
        <v>319</v>
      </c>
      <c r="H11" s="9" t="s">
        <v>320</v>
      </c>
    </row>
    <row r="12" spans="1:8" ht="65" customHeight="1">
      <c r="A12" s="9" t="s">
        <v>61</v>
      </c>
      <c r="B12" s="9">
        <v>1</v>
      </c>
      <c r="C12" s="9" t="s">
        <v>54</v>
      </c>
      <c r="D12" s="9" t="s">
        <v>321</v>
      </c>
      <c r="E12" s="11">
        <v>0.2917817967937702</v>
      </c>
      <c r="F12" s="9" t="s">
        <v>322</v>
      </c>
      <c r="G12" s="9" t="s">
        <v>323</v>
      </c>
      <c r="H12" s="9" t="s">
        <v>324</v>
      </c>
    </row>
    <row r="13" spans="1:8" ht="65" customHeight="1">
      <c r="A13" s="9" t="s">
        <v>61</v>
      </c>
      <c r="B13" s="9">
        <v>2</v>
      </c>
      <c r="C13" s="9" t="s">
        <v>75</v>
      </c>
      <c r="D13" s="9" t="s">
        <v>296</v>
      </c>
      <c r="E13" s="11">
        <v>0.27660156178756867</v>
      </c>
      <c r="F13" s="9" t="s">
        <v>325</v>
      </c>
      <c r="G13" s="9" t="s">
        <v>326</v>
      </c>
      <c r="H13" s="9" t="s">
        <v>327</v>
      </c>
    </row>
    <row r="14" spans="1:8" ht="65" customHeight="1">
      <c r="A14" s="9" t="s">
        <v>61</v>
      </c>
      <c r="B14" s="9">
        <v>3</v>
      </c>
      <c r="C14" s="9" t="s">
        <v>75</v>
      </c>
      <c r="D14" s="9" t="s">
        <v>296</v>
      </c>
      <c r="E14" s="11">
        <v>0.2672136835922006</v>
      </c>
      <c r="F14" s="9" t="s">
        <v>328</v>
      </c>
      <c r="G14" s="9" t="s">
        <v>329</v>
      </c>
      <c r="H14" s="9" t="s">
        <v>330</v>
      </c>
    </row>
    <row r="15" spans="1:8" ht="65" customHeight="1">
      <c r="A15" s="9" t="s">
        <v>61</v>
      </c>
      <c r="B15" s="9">
        <v>4</v>
      </c>
      <c r="C15" s="9" t="s">
        <v>75</v>
      </c>
      <c r="D15" s="9" t="s">
        <v>296</v>
      </c>
      <c r="E15" s="11">
        <v>0.26688581794249988</v>
      </c>
      <c r="F15" s="9" t="s">
        <v>331</v>
      </c>
      <c r="G15" s="9" t="s">
        <v>332</v>
      </c>
      <c r="H15" s="9" t="s">
        <v>333</v>
      </c>
    </row>
    <row r="16" spans="1:8" ht="65" customHeight="1">
      <c r="A16" s="9" t="s">
        <v>61</v>
      </c>
      <c r="B16" s="9">
        <v>5</v>
      </c>
      <c r="C16" s="9" t="s">
        <v>54</v>
      </c>
      <c r="D16" s="9" t="s">
        <v>321</v>
      </c>
      <c r="E16" s="11">
        <v>0.26673179294694588</v>
      </c>
      <c r="F16" s="9" t="s">
        <v>334</v>
      </c>
      <c r="G16" s="9" t="s">
        <v>335</v>
      </c>
      <c r="H16" s="9" t="s">
        <v>336</v>
      </c>
    </row>
    <row r="17" spans="1:8" ht="65" customHeight="1">
      <c r="A17" s="9" t="s">
        <v>61</v>
      </c>
      <c r="B17" s="9">
        <v>6</v>
      </c>
      <c r="C17" s="9" t="s">
        <v>54</v>
      </c>
      <c r="D17" s="9" t="s">
        <v>337</v>
      </c>
      <c r="E17" s="11">
        <v>0.26394544817383259</v>
      </c>
      <c r="F17" s="9" t="s">
        <v>338</v>
      </c>
      <c r="G17" s="9" t="s">
        <v>339</v>
      </c>
      <c r="H17" s="9" t="s">
        <v>340</v>
      </c>
    </row>
    <row r="18" spans="1:8" ht="65" customHeight="1">
      <c r="A18" s="9" t="s">
        <v>61</v>
      </c>
      <c r="B18" s="9">
        <v>7</v>
      </c>
      <c r="C18" s="9" t="s">
        <v>75</v>
      </c>
      <c r="D18" s="9" t="s">
        <v>296</v>
      </c>
      <c r="E18" s="11">
        <v>0.25620932384952649</v>
      </c>
      <c r="F18" s="9" t="s">
        <v>341</v>
      </c>
      <c r="G18" s="9" t="s">
        <v>342</v>
      </c>
      <c r="H18" s="9" t="s">
        <v>343</v>
      </c>
    </row>
    <row r="19" spans="1:8" ht="65" customHeight="1">
      <c r="A19" s="9" t="s">
        <v>61</v>
      </c>
      <c r="B19" s="9">
        <v>8</v>
      </c>
      <c r="C19" s="9" t="s">
        <v>75</v>
      </c>
      <c r="D19" s="9" t="s">
        <v>296</v>
      </c>
      <c r="E19" s="11">
        <v>0.25360159798652709</v>
      </c>
      <c r="F19" s="9" t="s">
        <v>344</v>
      </c>
      <c r="G19" s="9" t="s">
        <v>345</v>
      </c>
      <c r="H19" s="9" t="s">
        <v>346</v>
      </c>
    </row>
    <row r="20" spans="1:8" ht="65" customHeight="1">
      <c r="A20" s="9" t="s">
        <v>70</v>
      </c>
      <c r="B20" s="9">
        <v>1</v>
      </c>
      <c r="C20" s="9" t="s">
        <v>75</v>
      </c>
      <c r="D20" s="9" t="s">
        <v>296</v>
      </c>
      <c r="E20" s="11">
        <v>0.45117484827802329</v>
      </c>
      <c r="F20" s="9" t="s">
        <v>311</v>
      </c>
      <c r="G20" s="9" t="s">
        <v>312</v>
      </c>
      <c r="H20" s="9" t="s">
        <v>313</v>
      </c>
    </row>
    <row r="21" spans="1:8" ht="65" customHeight="1">
      <c r="A21" s="9" t="s">
        <v>70</v>
      </c>
      <c r="B21" s="9">
        <v>2</v>
      </c>
      <c r="C21" s="9" t="s">
        <v>54</v>
      </c>
      <c r="D21" s="9" t="s">
        <v>292</v>
      </c>
      <c r="E21" s="11">
        <v>0.3310768905043408</v>
      </c>
      <c r="F21" s="9" t="s">
        <v>347</v>
      </c>
      <c r="G21" s="9" t="s">
        <v>348</v>
      </c>
      <c r="H21" s="9" t="s">
        <v>349</v>
      </c>
    </row>
    <row r="22" spans="1:8" ht="65" customHeight="1">
      <c r="A22" s="9" t="s">
        <v>70</v>
      </c>
      <c r="B22" s="9">
        <v>3</v>
      </c>
      <c r="C22" s="9" t="s">
        <v>54</v>
      </c>
      <c r="D22" s="9" t="s">
        <v>292</v>
      </c>
      <c r="E22" s="11">
        <v>0.32978291324103082</v>
      </c>
      <c r="F22" s="9" t="s">
        <v>350</v>
      </c>
      <c r="G22" s="9" t="s">
        <v>351</v>
      </c>
      <c r="H22" s="9" t="s">
        <v>352</v>
      </c>
    </row>
    <row r="23" spans="1:8" ht="65" customHeight="1">
      <c r="A23" s="9" t="s">
        <v>70</v>
      </c>
      <c r="B23" s="9">
        <v>4</v>
      </c>
      <c r="C23" s="9" t="s">
        <v>75</v>
      </c>
      <c r="D23" s="9" t="s">
        <v>296</v>
      </c>
      <c r="E23" s="11">
        <v>0.32844017722033392</v>
      </c>
      <c r="F23" s="9" t="s">
        <v>353</v>
      </c>
      <c r="G23" s="9" t="s">
        <v>354</v>
      </c>
      <c r="H23" s="9" t="s">
        <v>355</v>
      </c>
    </row>
    <row r="24" spans="1:8" ht="65" customHeight="1">
      <c r="A24" s="9" t="s">
        <v>70</v>
      </c>
      <c r="B24" s="9">
        <v>5</v>
      </c>
      <c r="C24" s="9" t="s">
        <v>85</v>
      </c>
      <c r="D24" s="9" t="s">
        <v>304</v>
      </c>
      <c r="E24" s="11">
        <v>0.32598503392592298</v>
      </c>
      <c r="F24" s="9" t="s">
        <v>356</v>
      </c>
      <c r="G24" s="9" t="s">
        <v>357</v>
      </c>
      <c r="H24" s="9" t="s">
        <v>358</v>
      </c>
    </row>
    <row r="25" spans="1:8" ht="65" customHeight="1">
      <c r="A25" s="9" t="s">
        <v>70</v>
      </c>
      <c r="B25" s="9">
        <v>6</v>
      </c>
      <c r="C25" s="9" t="s">
        <v>54</v>
      </c>
      <c r="D25" s="9" t="s">
        <v>359</v>
      </c>
      <c r="E25" s="11">
        <v>0.32292428879044749</v>
      </c>
      <c r="F25" s="9" t="s">
        <v>360</v>
      </c>
      <c r="G25" s="9" t="s">
        <v>361</v>
      </c>
      <c r="H25" s="9" t="s">
        <v>336</v>
      </c>
    </row>
    <row r="26" spans="1:8" ht="65" customHeight="1">
      <c r="A26" s="9" t="s">
        <v>70</v>
      </c>
      <c r="B26" s="9">
        <v>7</v>
      </c>
      <c r="C26" s="9" t="s">
        <v>85</v>
      </c>
      <c r="D26" s="9" t="s">
        <v>304</v>
      </c>
      <c r="E26" s="11">
        <v>0.32249827338019771</v>
      </c>
      <c r="F26" s="9" t="s">
        <v>362</v>
      </c>
      <c r="G26" s="9" t="s">
        <v>363</v>
      </c>
      <c r="H26" s="9" t="s">
        <v>364</v>
      </c>
    </row>
    <row r="27" spans="1:8" ht="65" customHeight="1">
      <c r="A27" s="9" t="s">
        <v>70</v>
      </c>
      <c r="B27" s="9">
        <v>8</v>
      </c>
      <c r="C27" s="9" t="s">
        <v>54</v>
      </c>
      <c r="D27" s="9" t="s">
        <v>359</v>
      </c>
      <c r="E27" s="11">
        <v>0.31837805314975748</v>
      </c>
      <c r="F27" s="9" t="s">
        <v>365</v>
      </c>
      <c r="G27" s="9" t="s">
        <v>366</v>
      </c>
      <c r="H27" s="9" t="s">
        <v>340</v>
      </c>
    </row>
    <row r="28" spans="1:8" ht="65" customHeight="1">
      <c r="A28" s="9" t="s">
        <v>80</v>
      </c>
      <c r="B28" s="9">
        <v>1</v>
      </c>
      <c r="C28" s="9" t="s">
        <v>85</v>
      </c>
      <c r="D28" s="9" t="s">
        <v>304</v>
      </c>
      <c r="E28" s="11">
        <v>0.28724881857461071</v>
      </c>
      <c r="F28" s="9" t="s">
        <v>367</v>
      </c>
      <c r="G28" s="9" t="s">
        <v>368</v>
      </c>
      <c r="H28" s="9" t="s">
        <v>369</v>
      </c>
    </row>
    <row r="29" spans="1:8" ht="65" customHeight="1">
      <c r="A29" s="9" t="s">
        <v>80</v>
      </c>
      <c r="B29" s="9">
        <v>2</v>
      </c>
      <c r="C29" s="9" t="s">
        <v>85</v>
      </c>
      <c r="D29" s="9" t="s">
        <v>304</v>
      </c>
      <c r="E29" s="11">
        <v>0.27930297958104822</v>
      </c>
      <c r="F29" s="9" t="s">
        <v>370</v>
      </c>
      <c r="G29" s="9" t="s">
        <v>371</v>
      </c>
      <c r="H29" s="9" t="s">
        <v>372</v>
      </c>
    </row>
    <row r="30" spans="1:8" ht="65" customHeight="1">
      <c r="A30" s="9" t="s">
        <v>80</v>
      </c>
      <c r="B30" s="9">
        <v>3</v>
      </c>
      <c r="C30" s="9" t="s">
        <v>75</v>
      </c>
      <c r="D30" s="9" t="s">
        <v>296</v>
      </c>
      <c r="E30" s="11">
        <v>0.27761011556467552</v>
      </c>
      <c r="F30" s="9" t="s">
        <v>373</v>
      </c>
      <c r="G30" s="9" t="s">
        <v>374</v>
      </c>
      <c r="H30" s="9" t="s">
        <v>375</v>
      </c>
    </row>
    <row r="31" spans="1:8" ht="65" customHeight="1">
      <c r="A31" s="9" t="s">
        <v>80</v>
      </c>
      <c r="B31" s="9">
        <v>4</v>
      </c>
      <c r="C31" s="9" t="s">
        <v>75</v>
      </c>
      <c r="D31" s="9" t="s">
        <v>296</v>
      </c>
      <c r="E31" s="11">
        <v>0.26953956157183179</v>
      </c>
      <c r="F31" s="9" t="s">
        <v>376</v>
      </c>
      <c r="G31" s="9" t="s">
        <v>377</v>
      </c>
      <c r="H31" s="9" t="s">
        <v>378</v>
      </c>
    </row>
    <row r="32" spans="1:8" ht="65" customHeight="1">
      <c r="A32" s="9" t="s">
        <v>80</v>
      </c>
      <c r="B32" s="9">
        <v>5</v>
      </c>
      <c r="C32" s="9" t="s">
        <v>75</v>
      </c>
      <c r="D32" s="9" t="s">
        <v>296</v>
      </c>
      <c r="E32" s="11">
        <v>0.26943284671634649</v>
      </c>
      <c r="F32" s="9" t="s">
        <v>379</v>
      </c>
      <c r="G32" s="9" t="s">
        <v>380</v>
      </c>
      <c r="H32" s="9" t="s">
        <v>381</v>
      </c>
    </row>
    <row r="33" spans="1:8" ht="65" customHeight="1">
      <c r="A33" s="9" t="s">
        <v>80</v>
      </c>
      <c r="B33" s="9">
        <v>6</v>
      </c>
      <c r="C33" s="9" t="s">
        <v>75</v>
      </c>
      <c r="D33" s="9" t="s">
        <v>296</v>
      </c>
      <c r="E33" s="11">
        <v>0.26367766603851039</v>
      </c>
      <c r="F33" s="9" t="s">
        <v>382</v>
      </c>
      <c r="G33" s="9" t="s">
        <v>383</v>
      </c>
      <c r="H33" s="9" t="s">
        <v>384</v>
      </c>
    </row>
    <row r="34" spans="1:8" ht="65" customHeight="1">
      <c r="A34" s="9" t="s">
        <v>80</v>
      </c>
      <c r="B34" s="9">
        <v>7</v>
      </c>
      <c r="C34" s="9" t="s">
        <v>75</v>
      </c>
      <c r="D34" s="9" t="s">
        <v>296</v>
      </c>
      <c r="E34" s="11">
        <v>0.25220799082256651</v>
      </c>
      <c r="F34" s="9" t="s">
        <v>385</v>
      </c>
      <c r="G34" s="9" t="s">
        <v>386</v>
      </c>
      <c r="H34" s="9" t="s">
        <v>387</v>
      </c>
    </row>
    <row r="35" spans="1:8" ht="65" customHeight="1">
      <c r="A35" s="9" t="s">
        <v>80</v>
      </c>
      <c r="B35" s="9">
        <v>8</v>
      </c>
      <c r="C35" s="9" t="s">
        <v>75</v>
      </c>
      <c r="D35" s="9" t="s">
        <v>296</v>
      </c>
      <c r="E35" s="11">
        <v>0.2466124535351514</v>
      </c>
      <c r="F35" s="9" t="s">
        <v>331</v>
      </c>
      <c r="G35" s="9" t="s">
        <v>332</v>
      </c>
      <c r="H35" s="9" t="s">
        <v>333</v>
      </c>
    </row>
    <row r="36" spans="1:8" ht="65" customHeight="1">
      <c r="A36" s="9" t="s">
        <v>90</v>
      </c>
      <c r="B36" s="9">
        <v>1</v>
      </c>
      <c r="C36" s="9" t="s">
        <v>54</v>
      </c>
      <c r="D36" s="9" t="s">
        <v>300</v>
      </c>
      <c r="E36" s="11">
        <v>0.37449151399316799</v>
      </c>
      <c r="F36" s="9" t="s">
        <v>388</v>
      </c>
      <c r="G36" s="9" t="s">
        <v>389</v>
      </c>
      <c r="H36" s="9" t="s">
        <v>390</v>
      </c>
    </row>
    <row r="37" spans="1:8" ht="65" customHeight="1">
      <c r="A37" s="9" t="s">
        <v>90</v>
      </c>
      <c r="B37" s="9">
        <v>2</v>
      </c>
      <c r="C37" s="9" t="s">
        <v>54</v>
      </c>
      <c r="D37" s="9" t="s">
        <v>391</v>
      </c>
      <c r="E37" s="11">
        <v>0.36049651332706828</v>
      </c>
      <c r="F37" s="9" t="s">
        <v>392</v>
      </c>
      <c r="G37" s="9" t="s">
        <v>393</v>
      </c>
      <c r="H37" s="9" t="s">
        <v>394</v>
      </c>
    </row>
    <row r="38" spans="1:8" ht="65" customHeight="1">
      <c r="A38" s="9" t="s">
        <v>90</v>
      </c>
      <c r="B38" s="9">
        <v>3</v>
      </c>
      <c r="C38" s="9" t="s">
        <v>85</v>
      </c>
      <c r="D38" s="9" t="s">
        <v>304</v>
      </c>
      <c r="E38" s="11">
        <v>0.32326920435566903</v>
      </c>
      <c r="F38" s="9" t="s">
        <v>370</v>
      </c>
      <c r="G38" s="9" t="s">
        <v>371</v>
      </c>
      <c r="H38" s="9" t="s">
        <v>372</v>
      </c>
    </row>
    <row r="39" spans="1:8" ht="65" customHeight="1">
      <c r="A39" s="9" t="s">
        <v>90</v>
      </c>
      <c r="B39" s="9">
        <v>4</v>
      </c>
      <c r="C39" s="9" t="s">
        <v>85</v>
      </c>
      <c r="D39" s="9" t="s">
        <v>304</v>
      </c>
      <c r="E39" s="11">
        <v>0.322841648212849</v>
      </c>
      <c r="F39" s="9" t="s">
        <v>367</v>
      </c>
      <c r="G39" s="9" t="s">
        <v>368</v>
      </c>
      <c r="H39" s="9" t="s">
        <v>369</v>
      </c>
    </row>
    <row r="40" spans="1:8" ht="65" customHeight="1">
      <c r="A40" s="9" t="s">
        <v>90</v>
      </c>
      <c r="B40" s="9">
        <v>5</v>
      </c>
      <c r="C40" s="9" t="s">
        <v>54</v>
      </c>
      <c r="D40" s="9" t="s">
        <v>321</v>
      </c>
      <c r="E40" s="11">
        <v>0.3111475403866118</v>
      </c>
      <c r="F40" s="9" t="s">
        <v>322</v>
      </c>
      <c r="G40" s="9" t="s">
        <v>323</v>
      </c>
      <c r="H40" s="9" t="s">
        <v>324</v>
      </c>
    </row>
    <row r="41" spans="1:8" ht="65" customHeight="1">
      <c r="A41" s="9" t="s">
        <v>90</v>
      </c>
      <c r="B41" s="9">
        <v>6</v>
      </c>
      <c r="C41" s="9" t="s">
        <v>54</v>
      </c>
      <c r="D41" s="9" t="s">
        <v>292</v>
      </c>
      <c r="E41" s="11">
        <v>0.30213012964567881</v>
      </c>
      <c r="F41" s="9" t="s">
        <v>395</v>
      </c>
      <c r="G41" s="9" t="s">
        <v>396</v>
      </c>
      <c r="H41" s="9" t="s">
        <v>397</v>
      </c>
    </row>
    <row r="42" spans="1:8" ht="65" customHeight="1">
      <c r="A42" s="9" t="s">
        <v>90</v>
      </c>
      <c r="B42" s="9">
        <v>7</v>
      </c>
      <c r="C42" s="9" t="s">
        <v>54</v>
      </c>
      <c r="D42" s="9" t="s">
        <v>292</v>
      </c>
      <c r="E42" s="11">
        <v>0.29517587182631788</v>
      </c>
      <c r="F42" s="9" t="s">
        <v>350</v>
      </c>
      <c r="G42" s="9" t="s">
        <v>351</v>
      </c>
      <c r="H42" s="9" t="s">
        <v>352</v>
      </c>
    </row>
    <row r="43" spans="1:8" ht="65" customHeight="1">
      <c r="A43" s="9" t="s">
        <v>90</v>
      </c>
      <c r="B43" s="9">
        <v>8</v>
      </c>
      <c r="C43" s="9" t="s">
        <v>54</v>
      </c>
      <c r="D43" s="9" t="s">
        <v>359</v>
      </c>
      <c r="E43" s="11">
        <v>0.28476952100102948</v>
      </c>
      <c r="F43" s="9" t="s">
        <v>398</v>
      </c>
      <c r="G43" s="9" t="s">
        <v>399</v>
      </c>
      <c r="H43" s="9" t="s">
        <v>349</v>
      </c>
    </row>
    <row r="44" spans="1:8" ht="65" customHeight="1">
      <c r="A44" s="9" t="s">
        <v>99</v>
      </c>
      <c r="B44" s="9">
        <v>1</v>
      </c>
      <c r="C44" s="9" t="s">
        <v>54</v>
      </c>
      <c r="D44" s="9" t="s">
        <v>359</v>
      </c>
      <c r="E44" s="11">
        <v>0.42373124016799307</v>
      </c>
      <c r="F44" s="9" t="s">
        <v>365</v>
      </c>
      <c r="G44" s="9" t="s">
        <v>366</v>
      </c>
      <c r="H44" s="9" t="s">
        <v>340</v>
      </c>
    </row>
    <row r="45" spans="1:8" ht="65" customHeight="1">
      <c r="A45" s="9" t="s">
        <v>99</v>
      </c>
      <c r="B45" s="9">
        <v>2</v>
      </c>
      <c r="C45" s="9" t="s">
        <v>54</v>
      </c>
      <c r="D45" s="9" t="s">
        <v>292</v>
      </c>
      <c r="E45" s="11">
        <v>0.42291197875415859</v>
      </c>
      <c r="F45" s="9" t="s">
        <v>395</v>
      </c>
      <c r="G45" s="9" t="s">
        <v>396</v>
      </c>
      <c r="H45" s="9" t="s">
        <v>397</v>
      </c>
    </row>
    <row r="46" spans="1:8" ht="65" customHeight="1">
      <c r="A46" s="9" t="s">
        <v>99</v>
      </c>
      <c r="B46" s="9">
        <v>3</v>
      </c>
      <c r="C46" s="9" t="s">
        <v>85</v>
      </c>
      <c r="D46" s="9" t="s">
        <v>304</v>
      </c>
      <c r="E46" s="11">
        <v>0.42290529174711422</v>
      </c>
      <c r="F46" s="9" t="s">
        <v>370</v>
      </c>
      <c r="G46" s="9" t="s">
        <v>371</v>
      </c>
      <c r="H46" s="9" t="s">
        <v>372</v>
      </c>
    </row>
    <row r="47" spans="1:8" ht="65" customHeight="1">
      <c r="A47" s="9" t="s">
        <v>99</v>
      </c>
      <c r="B47" s="9">
        <v>4</v>
      </c>
      <c r="C47" s="9" t="s">
        <v>54</v>
      </c>
      <c r="D47" s="9" t="s">
        <v>300</v>
      </c>
      <c r="E47" s="11">
        <v>0.42177237489742819</v>
      </c>
      <c r="F47" s="9" t="s">
        <v>388</v>
      </c>
      <c r="G47" s="9" t="s">
        <v>389</v>
      </c>
      <c r="H47" s="9" t="s">
        <v>390</v>
      </c>
    </row>
    <row r="48" spans="1:8" ht="65" customHeight="1">
      <c r="A48" s="9" t="s">
        <v>99</v>
      </c>
      <c r="B48" s="9">
        <v>5</v>
      </c>
      <c r="C48" s="9" t="s">
        <v>54</v>
      </c>
      <c r="D48" s="9" t="s">
        <v>300</v>
      </c>
      <c r="E48" s="11">
        <v>0.40502047829016191</v>
      </c>
      <c r="F48" s="9" t="s">
        <v>400</v>
      </c>
      <c r="G48" s="9" t="s">
        <v>401</v>
      </c>
      <c r="H48" s="9" t="s">
        <v>349</v>
      </c>
    </row>
    <row r="49" spans="1:8" ht="65" customHeight="1">
      <c r="A49" s="9" t="s">
        <v>99</v>
      </c>
      <c r="B49" s="9">
        <v>6</v>
      </c>
      <c r="C49" s="9" t="s">
        <v>85</v>
      </c>
      <c r="D49" s="9" t="s">
        <v>304</v>
      </c>
      <c r="E49" s="11">
        <v>0.3954644828213737</v>
      </c>
      <c r="F49" s="9" t="s">
        <v>305</v>
      </c>
      <c r="G49" s="9" t="s">
        <v>306</v>
      </c>
      <c r="H49" s="9" t="s">
        <v>307</v>
      </c>
    </row>
    <row r="50" spans="1:8" ht="65" customHeight="1">
      <c r="A50" s="9" t="s">
        <v>99</v>
      </c>
      <c r="B50" s="9">
        <v>7</v>
      </c>
      <c r="C50" s="9" t="s">
        <v>85</v>
      </c>
      <c r="D50" s="9" t="s">
        <v>304</v>
      </c>
      <c r="E50" s="11">
        <v>0.39489206822739081</v>
      </c>
      <c r="F50" s="9" t="s">
        <v>402</v>
      </c>
      <c r="G50" s="9" t="s">
        <v>403</v>
      </c>
      <c r="H50" s="9" t="s">
        <v>404</v>
      </c>
    </row>
    <row r="51" spans="1:8" ht="65" customHeight="1">
      <c r="A51" s="9" t="s">
        <v>99</v>
      </c>
      <c r="B51" s="9">
        <v>8</v>
      </c>
      <c r="C51" s="9" t="s">
        <v>54</v>
      </c>
      <c r="D51" s="9" t="s">
        <v>300</v>
      </c>
      <c r="E51" s="11">
        <v>0.39282019867381651</v>
      </c>
      <c r="F51" s="9" t="s">
        <v>405</v>
      </c>
      <c r="G51" s="9" t="s">
        <v>406</v>
      </c>
      <c r="H51" s="9" t="s">
        <v>407</v>
      </c>
    </row>
    <row r="52" spans="1:8" ht="65" customHeight="1">
      <c r="A52" s="9" t="s">
        <v>109</v>
      </c>
      <c r="B52" s="9">
        <v>1</v>
      </c>
      <c r="C52" s="9" t="s">
        <v>75</v>
      </c>
      <c r="D52" s="9" t="s">
        <v>296</v>
      </c>
      <c r="E52" s="11">
        <v>0.58434232673883946</v>
      </c>
      <c r="F52" s="9" t="s">
        <v>297</v>
      </c>
      <c r="G52" s="9" t="s">
        <v>298</v>
      </c>
      <c r="H52" s="9" t="s">
        <v>299</v>
      </c>
    </row>
    <row r="53" spans="1:8" ht="65" customHeight="1">
      <c r="A53" s="9" t="s">
        <v>109</v>
      </c>
      <c r="B53" s="9">
        <v>2</v>
      </c>
      <c r="C53" s="9" t="s">
        <v>85</v>
      </c>
      <c r="D53" s="9" t="s">
        <v>304</v>
      </c>
      <c r="E53" s="11">
        <v>0.58137367800538875</v>
      </c>
      <c r="F53" s="9" t="s">
        <v>305</v>
      </c>
      <c r="G53" s="9" t="s">
        <v>306</v>
      </c>
      <c r="H53" s="9" t="s">
        <v>307</v>
      </c>
    </row>
    <row r="54" spans="1:8" ht="65" customHeight="1">
      <c r="A54" s="9" t="s">
        <v>109</v>
      </c>
      <c r="B54" s="9">
        <v>3</v>
      </c>
      <c r="C54" s="9" t="s">
        <v>85</v>
      </c>
      <c r="D54" s="9" t="s">
        <v>304</v>
      </c>
      <c r="E54" s="11">
        <v>0.52440985903766835</v>
      </c>
      <c r="F54" s="9" t="s">
        <v>408</v>
      </c>
      <c r="G54" s="9" t="s">
        <v>409</v>
      </c>
      <c r="H54" s="9" t="s">
        <v>410</v>
      </c>
    </row>
    <row r="55" spans="1:8" ht="65" customHeight="1">
      <c r="A55" s="9" t="s">
        <v>109</v>
      </c>
      <c r="B55" s="9">
        <v>4</v>
      </c>
      <c r="C55" s="9" t="s">
        <v>85</v>
      </c>
      <c r="D55" s="9" t="s">
        <v>304</v>
      </c>
      <c r="E55" s="11">
        <v>0.52188916059097368</v>
      </c>
      <c r="F55" s="9" t="s">
        <v>362</v>
      </c>
      <c r="G55" s="9" t="s">
        <v>363</v>
      </c>
      <c r="H55" s="9" t="s">
        <v>364</v>
      </c>
    </row>
    <row r="56" spans="1:8" ht="65" customHeight="1">
      <c r="A56" s="9" t="s">
        <v>109</v>
      </c>
      <c r="B56" s="9">
        <v>5</v>
      </c>
      <c r="C56" s="9" t="s">
        <v>75</v>
      </c>
      <c r="D56" s="9" t="s">
        <v>296</v>
      </c>
      <c r="E56" s="11">
        <v>0.51335344494984325</v>
      </c>
      <c r="F56" s="9" t="s">
        <v>379</v>
      </c>
      <c r="G56" s="9" t="s">
        <v>380</v>
      </c>
      <c r="H56" s="9" t="s">
        <v>381</v>
      </c>
    </row>
    <row r="57" spans="1:8" ht="65" customHeight="1">
      <c r="A57" s="9" t="s">
        <v>109</v>
      </c>
      <c r="B57" s="9">
        <v>6</v>
      </c>
      <c r="C57" s="9" t="s">
        <v>85</v>
      </c>
      <c r="D57" s="9" t="s">
        <v>304</v>
      </c>
      <c r="E57" s="11">
        <v>0.49676951258736612</v>
      </c>
      <c r="F57" s="9" t="s">
        <v>411</v>
      </c>
      <c r="G57" s="9" t="s">
        <v>412</v>
      </c>
      <c r="H57" s="9" t="s">
        <v>413</v>
      </c>
    </row>
    <row r="58" spans="1:8" ht="65" customHeight="1">
      <c r="A58" s="9" t="s">
        <v>109</v>
      </c>
      <c r="B58" s="9">
        <v>7</v>
      </c>
      <c r="C58" s="9" t="s">
        <v>54</v>
      </c>
      <c r="D58" s="9" t="s">
        <v>300</v>
      </c>
      <c r="E58" s="11">
        <v>0.49492284636307787</v>
      </c>
      <c r="F58" s="9" t="s">
        <v>414</v>
      </c>
      <c r="G58" s="9" t="s">
        <v>415</v>
      </c>
      <c r="H58" s="9" t="s">
        <v>352</v>
      </c>
    </row>
    <row r="59" spans="1:8" ht="65" customHeight="1">
      <c r="A59" s="9" t="s">
        <v>109</v>
      </c>
      <c r="B59" s="9">
        <v>8</v>
      </c>
      <c r="C59" s="9" t="s">
        <v>85</v>
      </c>
      <c r="D59" s="9" t="s">
        <v>304</v>
      </c>
      <c r="E59" s="11">
        <v>0.48876156049110109</v>
      </c>
      <c r="F59" s="9" t="s">
        <v>416</v>
      </c>
      <c r="G59" s="9" t="s">
        <v>417</v>
      </c>
      <c r="H59" s="9" t="s">
        <v>418</v>
      </c>
    </row>
    <row r="60" spans="1:8" ht="65" customHeight="1">
      <c r="A60" s="9" t="s">
        <v>118</v>
      </c>
      <c r="B60" s="9">
        <v>1</v>
      </c>
      <c r="C60" s="9" t="s">
        <v>75</v>
      </c>
      <c r="D60" s="9" t="s">
        <v>296</v>
      </c>
      <c r="E60" s="11">
        <v>0.50156762559180168</v>
      </c>
      <c r="F60" s="9" t="s">
        <v>379</v>
      </c>
      <c r="G60" s="9" t="s">
        <v>380</v>
      </c>
      <c r="H60" s="9" t="s">
        <v>381</v>
      </c>
    </row>
    <row r="61" spans="1:8" ht="65" customHeight="1">
      <c r="A61" s="9" t="s">
        <v>118</v>
      </c>
      <c r="B61" s="9">
        <v>2</v>
      </c>
      <c r="C61" s="9" t="s">
        <v>75</v>
      </c>
      <c r="D61" s="9" t="s">
        <v>296</v>
      </c>
      <c r="E61" s="11">
        <v>0.41265843971182758</v>
      </c>
      <c r="F61" s="9" t="s">
        <v>297</v>
      </c>
      <c r="G61" s="9" t="s">
        <v>298</v>
      </c>
      <c r="H61" s="9" t="s">
        <v>299</v>
      </c>
    </row>
    <row r="62" spans="1:8" ht="65" customHeight="1">
      <c r="A62" s="9" t="s">
        <v>118</v>
      </c>
      <c r="B62" s="9">
        <v>3</v>
      </c>
      <c r="C62" s="9" t="s">
        <v>54</v>
      </c>
      <c r="D62" s="9" t="s">
        <v>300</v>
      </c>
      <c r="E62" s="11">
        <v>0.38199103063510242</v>
      </c>
      <c r="F62" s="9" t="s">
        <v>419</v>
      </c>
      <c r="G62" s="9" t="s">
        <v>420</v>
      </c>
      <c r="H62" s="9" t="s">
        <v>394</v>
      </c>
    </row>
    <row r="63" spans="1:8" ht="65" customHeight="1">
      <c r="A63" s="9" t="s">
        <v>118</v>
      </c>
      <c r="B63" s="9">
        <v>4</v>
      </c>
      <c r="C63" s="9" t="s">
        <v>54</v>
      </c>
      <c r="D63" s="9" t="s">
        <v>292</v>
      </c>
      <c r="E63" s="11">
        <v>0.37772422499981873</v>
      </c>
      <c r="F63" s="9" t="s">
        <v>350</v>
      </c>
      <c r="G63" s="9" t="s">
        <v>351</v>
      </c>
      <c r="H63" s="9" t="s">
        <v>352</v>
      </c>
    </row>
    <row r="64" spans="1:8" ht="65" customHeight="1">
      <c r="A64" s="9" t="s">
        <v>118</v>
      </c>
      <c r="B64" s="9">
        <v>5</v>
      </c>
      <c r="C64" s="9" t="s">
        <v>75</v>
      </c>
      <c r="D64" s="9" t="s">
        <v>296</v>
      </c>
      <c r="E64" s="11">
        <v>0.3666923722660228</v>
      </c>
      <c r="F64" s="9" t="s">
        <v>421</v>
      </c>
      <c r="G64" s="9" t="s">
        <v>422</v>
      </c>
      <c r="H64" s="9" t="s">
        <v>423</v>
      </c>
    </row>
    <row r="65" spans="1:8" ht="65" customHeight="1">
      <c r="A65" s="9" t="s">
        <v>118</v>
      </c>
      <c r="B65" s="9">
        <v>6</v>
      </c>
      <c r="C65" s="9" t="s">
        <v>85</v>
      </c>
      <c r="D65" s="9" t="s">
        <v>304</v>
      </c>
      <c r="E65" s="11">
        <v>0.32744268158330658</v>
      </c>
      <c r="F65" s="9" t="s">
        <v>370</v>
      </c>
      <c r="G65" s="9" t="s">
        <v>371</v>
      </c>
      <c r="H65" s="9" t="s">
        <v>372</v>
      </c>
    </row>
    <row r="66" spans="1:8" ht="65" customHeight="1">
      <c r="A66" s="9" t="s">
        <v>118</v>
      </c>
      <c r="B66" s="9">
        <v>7</v>
      </c>
      <c r="C66" s="9" t="s">
        <v>85</v>
      </c>
      <c r="D66" s="9" t="s">
        <v>304</v>
      </c>
      <c r="E66" s="11">
        <v>0.32238754440562067</v>
      </c>
      <c r="F66" s="9" t="s">
        <v>305</v>
      </c>
      <c r="G66" s="9" t="s">
        <v>306</v>
      </c>
      <c r="H66" s="9" t="s">
        <v>307</v>
      </c>
    </row>
    <row r="67" spans="1:8" ht="65" customHeight="1">
      <c r="A67" s="9" t="s">
        <v>118</v>
      </c>
      <c r="B67" s="9">
        <v>8</v>
      </c>
      <c r="C67" s="9" t="s">
        <v>85</v>
      </c>
      <c r="D67" s="9" t="s">
        <v>304</v>
      </c>
      <c r="E67" s="11">
        <v>0.31924924152993822</v>
      </c>
      <c r="F67" s="9" t="s">
        <v>424</v>
      </c>
      <c r="G67" s="9" t="s">
        <v>425</v>
      </c>
      <c r="H67" s="9" t="s">
        <v>426</v>
      </c>
    </row>
    <row r="68" spans="1:8" ht="65" customHeight="1">
      <c r="A68" s="9" t="s">
        <v>128</v>
      </c>
      <c r="B68" s="9">
        <v>1</v>
      </c>
      <c r="C68" s="9" t="s">
        <v>75</v>
      </c>
      <c r="D68" s="9" t="s">
        <v>296</v>
      </c>
      <c r="E68" s="11">
        <v>0.55106966076829078</v>
      </c>
      <c r="F68" s="9" t="s">
        <v>325</v>
      </c>
      <c r="G68" s="9" t="s">
        <v>326</v>
      </c>
      <c r="H68" s="9" t="s">
        <v>327</v>
      </c>
    </row>
    <row r="69" spans="1:8" ht="65" customHeight="1">
      <c r="A69" s="9" t="s">
        <v>128</v>
      </c>
      <c r="B69" s="9">
        <v>2</v>
      </c>
      <c r="C69" s="9" t="s">
        <v>75</v>
      </c>
      <c r="D69" s="9" t="s">
        <v>296</v>
      </c>
      <c r="E69" s="11">
        <v>0.51003566771334663</v>
      </c>
      <c r="F69" s="9" t="s">
        <v>427</v>
      </c>
      <c r="G69" s="9" t="s">
        <v>428</v>
      </c>
      <c r="H69" s="9" t="s">
        <v>429</v>
      </c>
    </row>
    <row r="70" spans="1:8" ht="65" customHeight="1">
      <c r="A70" s="9" t="s">
        <v>128</v>
      </c>
      <c r="B70" s="9">
        <v>3</v>
      </c>
      <c r="C70" s="9" t="s">
        <v>75</v>
      </c>
      <c r="D70" s="9" t="s">
        <v>296</v>
      </c>
      <c r="E70" s="11">
        <v>0.48596516602302092</v>
      </c>
      <c r="F70" s="9" t="s">
        <v>379</v>
      </c>
      <c r="G70" s="9" t="s">
        <v>380</v>
      </c>
      <c r="H70" s="9" t="s">
        <v>381</v>
      </c>
    </row>
    <row r="71" spans="1:8" ht="65" customHeight="1">
      <c r="A71" s="9" t="s">
        <v>128</v>
      </c>
      <c r="B71" s="9">
        <v>4</v>
      </c>
      <c r="C71" s="9" t="s">
        <v>54</v>
      </c>
      <c r="D71" s="9" t="s">
        <v>391</v>
      </c>
      <c r="E71" s="11">
        <v>0.46372163638389718</v>
      </c>
      <c r="F71" s="9" t="s">
        <v>430</v>
      </c>
      <c r="G71" s="9" t="s">
        <v>431</v>
      </c>
      <c r="H71" s="9" t="s">
        <v>336</v>
      </c>
    </row>
    <row r="72" spans="1:8" ht="65" customHeight="1">
      <c r="A72" s="9" t="s">
        <v>128</v>
      </c>
      <c r="B72" s="9">
        <v>5</v>
      </c>
      <c r="C72" s="9" t="s">
        <v>75</v>
      </c>
      <c r="D72" s="9" t="s">
        <v>296</v>
      </c>
      <c r="E72" s="11">
        <v>0.44778988887797427</v>
      </c>
      <c r="F72" s="9" t="s">
        <v>432</v>
      </c>
      <c r="G72" s="9" t="s">
        <v>433</v>
      </c>
      <c r="H72" s="9" t="s">
        <v>434</v>
      </c>
    </row>
    <row r="73" spans="1:8" ht="65" customHeight="1">
      <c r="A73" s="9" t="s">
        <v>128</v>
      </c>
      <c r="B73" s="9">
        <v>6</v>
      </c>
      <c r="C73" s="9" t="s">
        <v>75</v>
      </c>
      <c r="D73" s="9" t="s">
        <v>296</v>
      </c>
      <c r="E73" s="11">
        <v>0.44722969094765003</v>
      </c>
      <c r="F73" s="9" t="s">
        <v>435</v>
      </c>
      <c r="G73" s="9" t="s">
        <v>436</v>
      </c>
      <c r="H73" s="9" t="s">
        <v>437</v>
      </c>
    </row>
    <row r="74" spans="1:8" ht="65" customHeight="1">
      <c r="A74" s="9" t="s">
        <v>128</v>
      </c>
      <c r="B74" s="9">
        <v>7</v>
      </c>
      <c r="C74" s="9" t="s">
        <v>54</v>
      </c>
      <c r="D74" s="9" t="s">
        <v>292</v>
      </c>
      <c r="E74" s="11">
        <v>0.40605289433217723</v>
      </c>
      <c r="F74" s="9" t="s">
        <v>350</v>
      </c>
      <c r="G74" s="9" t="s">
        <v>351</v>
      </c>
      <c r="H74" s="9" t="s">
        <v>352</v>
      </c>
    </row>
    <row r="75" spans="1:8" ht="65" customHeight="1">
      <c r="A75" s="9" t="s">
        <v>128</v>
      </c>
      <c r="B75" s="9">
        <v>8</v>
      </c>
      <c r="C75" s="9" t="s">
        <v>85</v>
      </c>
      <c r="D75" s="9" t="s">
        <v>304</v>
      </c>
      <c r="E75" s="11">
        <v>0.40299280094560708</v>
      </c>
      <c r="F75" s="9" t="s">
        <v>356</v>
      </c>
      <c r="G75" s="9" t="s">
        <v>357</v>
      </c>
      <c r="H75" s="9" t="s">
        <v>358</v>
      </c>
    </row>
    <row r="76" spans="1:8" ht="65" customHeight="1">
      <c r="A76" s="9" t="s">
        <v>137</v>
      </c>
      <c r="B76" s="9">
        <v>1</v>
      </c>
      <c r="C76" s="9" t="s">
        <v>85</v>
      </c>
      <c r="D76" s="9" t="s">
        <v>304</v>
      </c>
      <c r="E76" s="11">
        <v>0.43622852417842711</v>
      </c>
      <c r="F76" s="9" t="s">
        <v>362</v>
      </c>
      <c r="G76" s="9" t="s">
        <v>363</v>
      </c>
      <c r="H76" s="9" t="s">
        <v>364</v>
      </c>
    </row>
    <row r="77" spans="1:8" ht="65" customHeight="1">
      <c r="A77" s="9" t="s">
        <v>137</v>
      </c>
      <c r="B77" s="9">
        <v>2</v>
      </c>
      <c r="C77" s="9" t="s">
        <v>75</v>
      </c>
      <c r="D77" s="9" t="s">
        <v>296</v>
      </c>
      <c r="E77" s="11">
        <v>0.41473917098040641</v>
      </c>
      <c r="F77" s="9" t="s">
        <v>311</v>
      </c>
      <c r="G77" s="9" t="s">
        <v>312</v>
      </c>
      <c r="H77" s="9" t="s">
        <v>313</v>
      </c>
    </row>
    <row r="78" spans="1:8" ht="65" customHeight="1">
      <c r="A78" s="9" t="s">
        <v>137</v>
      </c>
      <c r="B78" s="9">
        <v>3</v>
      </c>
      <c r="C78" s="9" t="s">
        <v>85</v>
      </c>
      <c r="D78" s="9" t="s">
        <v>304</v>
      </c>
      <c r="E78" s="11">
        <v>0.37655302059314483</v>
      </c>
      <c r="F78" s="9" t="s">
        <v>408</v>
      </c>
      <c r="G78" s="9" t="s">
        <v>409</v>
      </c>
      <c r="H78" s="9" t="s">
        <v>410</v>
      </c>
    </row>
    <row r="79" spans="1:8" ht="65" customHeight="1">
      <c r="A79" s="9" t="s">
        <v>137</v>
      </c>
      <c r="B79" s="9">
        <v>4</v>
      </c>
      <c r="C79" s="9" t="s">
        <v>75</v>
      </c>
      <c r="D79" s="9" t="s">
        <v>296</v>
      </c>
      <c r="E79" s="11">
        <v>0.36691972212632518</v>
      </c>
      <c r="F79" s="9" t="s">
        <v>432</v>
      </c>
      <c r="G79" s="9" t="s">
        <v>433</v>
      </c>
      <c r="H79" s="9" t="s">
        <v>434</v>
      </c>
    </row>
    <row r="80" spans="1:8" ht="65" customHeight="1">
      <c r="A80" s="9" t="s">
        <v>137</v>
      </c>
      <c r="B80" s="9">
        <v>5</v>
      </c>
      <c r="C80" s="9" t="s">
        <v>75</v>
      </c>
      <c r="D80" s="9" t="s">
        <v>296</v>
      </c>
      <c r="E80" s="11">
        <v>0.35403417814169402</v>
      </c>
      <c r="F80" s="9" t="s">
        <v>325</v>
      </c>
      <c r="G80" s="9" t="s">
        <v>326</v>
      </c>
      <c r="H80" s="9" t="s">
        <v>327</v>
      </c>
    </row>
    <row r="81" spans="1:8" ht="65" customHeight="1">
      <c r="A81" s="9" t="s">
        <v>137</v>
      </c>
      <c r="B81" s="9">
        <v>6</v>
      </c>
      <c r="C81" s="9" t="s">
        <v>85</v>
      </c>
      <c r="D81" s="9" t="s">
        <v>304</v>
      </c>
      <c r="E81" s="11">
        <v>0.34821921234729108</v>
      </c>
      <c r="F81" s="9" t="s">
        <v>438</v>
      </c>
      <c r="G81" s="9" t="s">
        <v>439</v>
      </c>
      <c r="H81" s="9" t="s">
        <v>440</v>
      </c>
    </row>
    <row r="82" spans="1:8" ht="65" customHeight="1">
      <c r="A82" s="9" t="s">
        <v>137</v>
      </c>
      <c r="B82" s="9">
        <v>7</v>
      </c>
      <c r="C82" s="9" t="s">
        <v>75</v>
      </c>
      <c r="D82" s="9" t="s">
        <v>296</v>
      </c>
      <c r="E82" s="11">
        <v>0.34685286170161578</v>
      </c>
      <c r="F82" s="9" t="s">
        <v>441</v>
      </c>
      <c r="G82" s="9" t="s">
        <v>442</v>
      </c>
      <c r="H82" s="9" t="s">
        <v>443</v>
      </c>
    </row>
    <row r="83" spans="1:8" ht="65" customHeight="1">
      <c r="A83" s="9" t="s">
        <v>137</v>
      </c>
      <c r="B83" s="9">
        <v>8</v>
      </c>
      <c r="C83" s="9" t="s">
        <v>75</v>
      </c>
      <c r="D83" s="9" t="s">
        <v>296</v>
      </c>
      <c r="E83" s="11">
        <v>0.33551988912442499</v>
      </c>
      <c r="F83" s="9" t="s">
        <v>297</v>
      </c>
      <c r="G83" s="9" t="s">
        <v>298</v>
      </c>
      <c r="H83" s="9" t="s">
        <v>299</v>
      </c>
    </row>
    <row r="84" spans="1:8" ht="65" customHeight="1">
      <c r="A84" s="9" t="s">
        <v>146</v>
      </c>
      <c r="B84" s="9">
        <v>1</v>
      </c>
      <c r="C84" s="9" t="s">
        <v>85</v>
      </c>
      <c r="D84" s="9" t="s">
        <v>304</v>
      </c>
      <c r="E84" s="11">
        <v>0.3663264790288519</v>
      </c>
      <c r="F84" s="9" t="s">
        <v>444</v>
      </c>
      <c r="G84" s="9" t="s">
        <v>445</v>
      </c>
      <c r="H84" s="9" t="s">
        <v>446</v>
      </c>
    </row>
    <row r="85" spans="1:8" ht="65" customHeight="1">
      <c r="A85" s="9" t="s">
        <v>146</v>
      </c>
      <c r="B85" s="9">
        <v>2</v>
      </c>
      <c r="C85" s="9" t="s">
        <v>75</v>
      </c>
      <c r="D85" s="9" t="s">
        <v>296</v>
      </c>
      <c r="E85" s="11">
        <v>0.36621360847236578</v>
      </c>
      <c r="F85" s="9" t="s">
        <v>447</v>
      </c>
      <c r="G85" s="9" t="s">
        <v>448</v>
      </c>
      <c r="H85" s="9" t="s">
        <v>449</v>
      </c>
    </row>
    <row r="86" spans="1:8" ht="65" customHeight="1">
      <c r="A86" s="9" t="s">
        <v>146</v>
      </c>
      <c r="B86" s="9">
        <v>3</v>
      </c>
      <c r="C86" s="9" t="s">
        <v>85</v>
      </c>
      <c r="D86" s="9" t="s">
        <v>304</v>
      </c>
      <c r="E86" s="11">
        <v>0.36137784587250521</v>
      </c>
      <c r="F86" s="9" t="s">
        <v>362</v>
      </c>
      <c r="G86" s="9" t="s">
        <v>363</v>
      </c>
      <c r="H86" s="9" t="s">
        <v>364</v>
      </c>
    </row>
    <row r="87" spans="1:8" ht="65" customHeight="1">
      <c r="A87" s="9" t="s">
        <v>146</v>
      </c>
      <c r="B87" s="9">
        <v>4</v>
      </c>
      <c r="C87" s="9" t="s">
        <v>54</v>
      </c>
      <c r="D87" s="9" t="s">
        <v>391</v>
      </c>
      <c r="E87" s="11">
        <v>0.35565478511952969</v>
      </c>
      <c r="F87" s="9" t="s">
        <v>430</v>
      </c>
      <c r="G87" s="9" t="s">
        <v>431</v>
      </c>
      <c r="H87" s="9" t="s">
        <v>336</v>
      </c>
    </row>
    <row r="88" spans="1:8" ht="65" customHeight="1">
      <c r="A88" s="9" t="s">
        <v>146</v>
      </c>
      <c r="B88" s="9">
        <v>5</v>
      </c>
      <c r="C88" s="9" t="s">
        <v>54</v>
      </c>
      <c r="D88" s="9" t="s">
        <v>450</v>
      </c>
      <c r="E88" s="11">
        <v>0.34812804406535908</v>
      </c>
      <c r="F88" s="9" t="s">
        <v>451</v>
      </c>
      <c r="G88" s="9" t="s">
        <v>452</v>
      </c>
      <c r="H88" s="9" t="s">
        <v>310</v>
      </c>
    </row>
    <row r="89" spans="1:8" ht="65" customHeight="1">
      <c r="A89" s="9" t="s">
        <v>146</v>
      </c>
      <c r="B89" s="9">
        <v>6</v>
      </c>
      <c r="C89" s="9" t="s">
        <v>54</v>
      </c>
      <c r="D89" s="9" t="s">
        <v>292</v>
      </c>
      <c r="E89" s="11">
        <v>0.34802688757995021</v>
      </c>
      <c r="F89" s="9" t="s">
        <v>350</v>
      </c>
      <c r="G89" s="9" t="s">
        <v>351</v>
      </c>
      <c r="H89" s="9" t="s">
        <v>352</v>
      </c>
    </row>
    <row r="90" spans="1:8" ht="65" customHeight="1">
      <c r="A90" s="9" t="s">
        <v>146</v>
      </c>
      <c r="B90" s="9">
        <v>7</v>
      </c>
      <c r="C90" s="9" t="s">
        <v>54</v>
      </c>
      <c r="D90" s="9" t="s">
        <v>359</v>
      </c>
      <c r="E90" s="11">
        <v>0.34032717791385048</v>
      </c>
      <c r="F90" s="9" t="s">
        <v>453</v>
      </c>
      <c r="G90" s="9" t="s">
        <v>454</v>
      </c>
      <c r="H90" s="9" t="s">
        <v>295</v>
      </c>
    </row>
    <row r="91" spans="1:8" ht="65" customHeight="1">
      <c r="A91" s="9" t="s">
        <v>146</v>
      </c>
      <c r="B91" s="9">
        <v>8</v>
      </c>
      <c r="C91" s="9" t="s">
        <v>75</v>
      </c>
      <c r="D91" s="9" t="s">
        <v>296</v>
      </c>
      <c r="E91" s="11">
        <v>0.33539630407081328</v>
      </c>
      <c r="F91" s="9" t="s">
        <v>379</v>
      </c>
      <c r="G91" s="9" t="s">
        <v>380</v>
      </c>
      <c r="H91" s="9" t="s">
        <v>381</v>
      </c>
    </row>
    <row r="92" spans="1:8" ht="65" customHeight="1">
      <c r="A92" s="9" t="s">
        <v>154</v>
      </c>
      <c r="B92" s="9">
        <v>1</v>
      </c>
      <c r="C92" s="9" t="s">
        <v>54</v>
      </c>
      <c r="D92" s="9" t="s">
        <v>359</v>
      </c>
      <c r="E92" s="11">
        <v>0.48843703059500743</v>
      </c>
      <c r="F92" s="9" t="s">
        <v>360</v>
      </c>
      <c r="G92" s="9" t="s">
        <v>361</v>
      </c>
      <c r="H92" s="9" t="s">
        <v>336</v>
      </c>
    </row>
    <row r="93" spans="1:8" ht="65" customHeight="1">
      <c r="A93" s="9" t="s">
        <v>154</v>
      </c>
      <c r="B93" s="9">
        <v>2</v>
      </c>
      <c r="C93" s="9" t="s">
        <v>54</v>
      </c>
      <c r="D93" s="9" t="s">
        <v>300</v>
      </c>
      <c r="E93" s="11">
        <v>0.39809282418679859</v>
      </c>
      <c r="F93" s="9" t="s">
        <v>455</v>
      </c>
      <c r="G93" s="9" t="s">
        <v>456</v>
      </c>
      <c r="H93" s="9" t="s">
        <v>457</v>
      </c>
    </row>
    <row r="94" spans="1:8" ht="65" customHeight="1">
      <c r="A94" s="9" t="s">
        <v>154</v>
      </c>
      <c r="B94" s="9">
        <v>3</v>
      </c>
      <c r="C94" s="9" t="s">
        <v>54</v>
      </c>
      <c r="D94" s="9" t="s">
        <v>292</v>
      </c>
      <c r="E94" s="11">
        <v>0.39693762573776092</v>
      </c>
      <c r="F94" s="9" t="s">
        <v>350</v>
      </c>
      <c r="G94" s="9" t="s">
        <v>351</v>
      </c>
      <c r="H94" s="9" t="s">
        <v>352</v>
      </c>
    </row>
    <row r="95" spans="1:8" ht="65" customHeight="1">
      <c r="A95" s="9" t="s">
        <v>154</v>
      </c>
      <c r="B95" s="9">
        <v>4</v>
      </c>
      <c r="C95" s="9" t="s">
        <v>54</v>
      </c>
      <c r="D95" s="9" t="s">
        <v>300</v>
      </c>
      <c r="E95" s="11">
        <v>0.37969189462374409</v>
      </c>
      <c r="F95" s="9" t="s">
        <v>458</v>
      </c>
      <c r="G95" s="9" t="s">
        <v>459</v>
      </c>
      <c r="H95" s="9" t="s">
        <v>460</v>
      </c>
    </row>
    <row r="96" spans="1:8" ht="65" customHeight="1">
      <c r="A96" s="9" t="s">
        <v>154</v>
      </c>
      <c r="B96" s="9">
        <v>5</v>
      </c>
      <c r="C96" s="9" t="s">
        <v>75</v>
      </c>
      <c r="D96" s="9" t="s">
        <v>296</v>
      </c>
      <c r="E96" s="11">
        <v>0.37425860199886768</v>
      </c>
      <c r="F96" s="9" t="s">
        <v>353</v>
      </c>
      <c r="G96" s="9" t="s">
        <v>354</v>
      </c>
      <c r="H96" s="9" t="s">
        <v>355</v>
      </c>
    </row>
    <row r="97" spans="1:8" ht="65" customHeight="1">
      <c r="A97" s="9" t="s">
        <v>154</v>
      </c>
      <c r="B97" s="9">
        <v>6</v>
      </c>
      <c r="C97" s="9" t="s">
        <v>54</v>
      </c>
      <c r="D97" s="9" t="s">
        <v>292</v>
      </c>
      <c r="E97" s="11">
        <v>0.37297303553537309</v>
      </c>
      <c r="F97" s="9" t="s">
        <v>461</v>
      </c>
      <c r="G97" s="9" t="s">
        <v>462</v>
      </c>
      <c r="H97" s="9" t="s">
        <v>463</v>
      </c>
    </row>
    <row r="98" spans="1:8" ht="65" customHeight="1">
      <c r="A98" s="9" t="s">
        <v>154</v>
      </c>
      <c r="B98" s="9">
        <v>7</v>
      </c>
      <c r="C98" s="9" t="s">
        <v>54</v>
      </c>
      <c r="D98" s="9" t="s">
        <v>359</v>
      </c>
      <c r="E98" s="11">
        <v>0.3721024397939719</v>
      </c>
      <c r="F98" s="9" t="s">
        <v>464</v>
      </c>
      <c r="G98" s="9" t="s">
        <v>465</v>
      </c>
      <c r="H98" s="9" t="s">
        <v>324</v>
      </c>
    </row>
    <row r="99" spans="1:8" ht="65" customHeight="1">
      <c r="A99" s="9" t="s">
        <v>154</v>
      </c>
      <c r="B99" s="9">
        <v>8</v>
      </c>
      <c r="C99" s="9" t="s">
        <v>54</v>
      </c>
      <c r="D99" s="9" t="s">
        <v>359</v>
      </c>
      <c r="E99" s="11">
        <v>0.37062891032970119</v>
      </c>
      <c r="F99" s="9" t="s">
        <v>466</v>
      </c>
      <c r="G99" s="9" t="s">
        <v>467</v>
      </c>
      <c r="H99" s="9" t="s">
        <v>394</v>
      </c>
    </row>
    <row r="100" spans="1:8" ht="65" customHeight="1">
      <c r="A100" s="9" t="s">
        <v>164</v>
      </c>
      <c r="B100" s="9">
        <v>1</v>
      </c>
      <c r="C100" s="9" t="s">
        <v>54</v>
      </c>
      <c r="D100" s="9" t="s">
        <v>359</v>
      </c>
      <c r="E100" s="11">
        <v>0.51062419011739912</v>
      </c>
      <c r="F100" s="9" t="s">
        <v>468</v>
      </c>
      <c r="G100" s="9" t="s">
        <v>469</v>
      </c>
      <c r="H100" s="9" t="s">
        <v>470</v>
      </c>
    </row>
    <row r="101" spans="1:8" ht="65" customHeight="1">
      <c r="A101" s="9" t="s">
        <v>164</v>
      </c>
      <c r="B101" s="9">
        <v>2</v>
      </c>
      <c r="C101" s="9" t="s">
        <v>54</v>
      </c>
      <c r="D101" s="9" t="s">
        <v>300</v>
      </c>
      <c r="E101" s="11">
        <v>0.4235968056829762</v>
      </c>
      <c r="F101" s="9" t="s">
        <v>458</v>
      </c>
      <c r="G101" s="9" t="s">
        <v>459</v>
      </c>
      <c r="H101" s="9" t="s">
        <v>460</v>
      </c>
    </row>
    <row r="102" spans="1:8" ht="65" customHeight="1">
      <c r="A102" s="9" t="s">
        <v>164</v>
      </c>
      <c r="B102" s="9">
        <v>3</v>
      </c>
      <c r="C102" s="9" t="s">
        <v>54</v>
      </c>
      <c r="D102" s="9" t="s">
        <v>391</v>
      </c>
      <c r="E102" s="11">
        <v>0.4057993598520574</v>
      </c>
      <c r="F102" s="9" t="s">
        <v>471</v>
      </c>
      <c r="G102" s="9" t="s">
        <v>472</v>
      </c>
      <c r="H102" s="9" t="s">
        <v>473</v>
      </c>
    </row>
    <row r="103" spans="1:8" ht="65" customHeight="1">
      <c r="A103" s="9" t="s">
        <v>164</v>
      </c>
      <c r="B103" s="9">
        <v>4</v>
      </c>
      <c r="C103" s="9" t="s">
        <v>75</v>
      </c>
      <c r="D103" s="9" t="s">
        <v>296</v>
      </c>
      <c r="E103" s="11">
        <v>0.39814065068672339</v>
      </c>
      <c r="F103" s="9" t="s">
        <v>376</v>
      </c>
      <c r="G103" s="9" t="s">
        <v>377</v>
      </c>
      <c r="H103" s="9" t="s">
        <v>378</v>
      </c>
    </row>
    <row r="104" spans="1:8" ht="65" customHeight="1">
      <c r="A104" s="9" t="s">
        <v>164</v>
      </c>
      <c r="B104" s="9">
        <v>5</v>
      </c>
      <c r="C104" s="9" t="s">
        <v>54</v>
      </c>
      <c r="D104" s="9" t="s">
        <v>321</v>
      </c>
      <c r="E104" s="11">
        <v>0.38983768180691741</v>
      </c>
      <c r="F104" s="9" t="s">
        <v>474</v>
      </c>
      <c r="G104" s="9" t="s">
        <v>475</v>
      </c>
      <c r="H104" s="9" t="s">
        <v>295</v>
      </c>
    </row>
    <row r="105" spans="1:8" ht="65" customHeight="1">
      <c r="A105" s="9" t="s">
        <v>164</v>
      </c>
      <c r="B105" s="9">
        <v>6</v>
      </c>
      <c r="C105" s="9" t="s">
        <v>54</v>
      </c>
      <c r="D105" s="9" t="s">
        <v>292</v>
      </c>
      <c r="E105" s="11">
        <v>0.36846132854190178</v>
      </c>
      <c r="F105" s="9" t="s">
        <v>461</v>
      </c>
      <c r="G105" s="9" t="s">
        <v>462</v>
      </c>
      <c r="H105" s="9" t="s">
        <v>463</v>
      </c>
    </row>
    <row r="106" spans="1:8" ht="65" customHeight="1">
      <c r="A106" s="9" t="s">
        <v>164</v>
      </c>
      <c r="B106" s="9">
        <v>7</v>
      </c>
      <c r="C106" s="9" t="s">
        <v>54</v>
      </c>
      <c r="D106" s="9" t="s">
        <v>476</v>
      </c>
      <c r="E106" s="11">
        <v>0.36208711730723192</v>
      </c>
      <c r="F106" s="9" t="s">
        <v>477</v>
      </c>
      <c r="G106" s="9" t="s">
        <v>478</v>
      </c>
      <c r="H106" s="9" t="s">
        <v>463</v>
      </c>
    </row>
    <row r="107" spans="1:8" ht="65" customHeight="1">
      <c r="A107" s="9" t="s">
        <v>164</v>
      </c>
      <c r="B107" s="9">
        <v>8</v>
      </c>
      <c r="C107" s="9" t="s">
        <v>54</v>
      </c>
      <c r="D107" s="9" t="s">
        <v>450</v>
      </c>
      <c r="E107" s="11">
        <v>0.35814879602388211</v>
      </c>
      <c r="F107" s="9" t="s">
        <v>479</v>
      </c>
      <c r="G107" s="9" t="s">
        <v>480</v>
      </c>
      <c r="H107" s="9" t="s">
        <v>340</v>
      </c>
    </row>
    <row r="108" spans="1:8" ht="65" customHeight="1">
      <c r="A108" s="9" t="s">
        <v>173</v>
      </c>
      <c r="B108" s="9">
        <v>1</v>
      </c>
      <c r="C108" s="9" t="s">
        <v>54</v>
      </c>
      <c r="D108" s="9" t="s">
        <v>359</v>
      </c>
      <c r="E108" s="11">
        <v>0.55666962545519505</v>
      </c>
      <c r="F108" s="9" t="s">
        <v>481</v>
      </c>
      <c r="G108" s="9" t="s">
        <v>482</v>
      </c>
      <c r="H108" s="9" t="s">
        <v>390</v>
      </c>
    </row>
    <row r="109" spans="1:8" ht="65" customHeight="1">
      <c r="A109" s="9" t="s">
        <v>173</v>
      </c>
      <c r="B109" s="9">
        <v>2</v>
      </c>
      <c r="C109" s="9" t="s">
        <v>54</v>
      </c>
      <c r="D109" s="9" t="s">
        <v>450</v>
      </c>
      <c r="E109" s="11">
        <v>0.45142682648649141</v>
      </c>
      <c r="F109" s="9" t="s">
        <v>479</v>
      </c>
      <c r="G109" s="9" t="s">
        <v>480</v>
      </c>
      <c r="H109" s="9" t="s">
        <v>340</v>
      </c>
    </row>
    <row r="110" spans="1:8" ht="65" customHeight="1">
      <c r="A110" s="9" t="s">
        <v>173</v>
      </c>
      <c r="B110" s="9">
        <v>3</v>
      </c>
      <c r="C110" s="9" t="s">
        <v>54</v>
      </c>
      <c r="D110" s="9" t="s">
        <v>292</v>
      </c>
      <c r="E110" s="11">
        <v>0.40349836432430769</v>
      </c>
      <c r="F110" s="9" t="s">
        <v>461</v>
      </c>
      <c r="G110" s="9" t="s">
        <v>462</v>
      </c>
      <c r="H110" s="9" t="s">
        <v>463</v>
      </c>
    </row>
    <row r="111" spans="1:8" ht="65" customHeight="1">
      <c r="A111" s="9" t="s">
        <v>173</v>
      </c>
      <c r="B111" s="9">
        <v>4</v>
      </c>
      <c r="C111" s="9" t="s">
        <v>54</v>
      </c>
      <c r="D111" s="9" t="s">
        <v>300</v>
      </c>
      <c r="E111" s="11">
        <v>0.39809109286164701</v>
      </c>
      <c r="F111" s="9" t="s">
        <v>400</v>
      </c>
      <c r="G111" s="9" t="s">
        <v>401</v>
      </c>
      <c r="H111" s="9" t="s">
        <v>349</v>
      </c>
    </row>
    <row r="112" spans="1:8" ht="65" customHeight="1">
      <c r="A112" s="9" t="s">
        <v>173</v>
      </c>
      <c r="B112" s="9">
        <v>5</v>
      </c>
      <c r="C112" s="9" t="s">
        <v>54</v>
      </c>
      <c r="D112" s="9" t="s">
        <v>359</v>
      </c>
      <c r="E112" s="11">
        <v>0.38995113242423363</v>
      </c>
      <c r="F112" s="9" t="s">
        <v>483</v>
      </c>
      <c r="G112" s="9" t="s">
        <v>484</v>
      </c>
      <c r="H112" s="9" t="s">
        <v>485</v>
      </c>
    </row>
    <row r="113" spans="1:8" ht="65" customHeight="1">
      <c r="A113" s="9" t="s">
        <v>173</v>
      </c>
      <c r="B113" s="9">
        <v>6</v>
      </c>
      <c r="C113" s="9" t="s">
        <v>54</v>
      </c>
      <c r="D113" s="9" t="s">
        <v>359</v>
      </c>
      <c r="E113" s="11">
        <v>0.38119269526969479</v>
      </c>
      <c r="F113" s="9" t="s">
        <v>365</v>
      </c>
      <c r="G113" s="9" t="s">
        <v>366</v>
      </c>
      <c r="H113" s="9" t="s">
        <v>340</v>
      </c>
    </row>
    <row r="114" spans="1:8" ht="65" customHeight="1">
      <c r="A114" s="9" t="s">
        <v>173</v>
      </c>
      <c r="B114" s="9">
        <v>7</v>
      </c>
      <c r="C114" s="9" t="s">
        <v>54</v>
      </c>
      <c r="D114" s="9" t="s">
        <v>300</v>
      </c>
      <c r="E114" s="11">
        <v>0.37661712488842419</v>
      </c>
      <c r="F114" s="9" t="s">
        <v>486</v>
      </c>
      <c r="G114" s="9" t="s">
        <v>487</v>
      </c>
      <c r="H114" s="9" t="s">
        <v>488</v>
      </c>
    </row>
    <row r="115" spans="1:8" ht="65" customHeight="1">
      <c r="A115" s="9" t="s">
        <v>173</v>
      </c>
      <c r="B115" s="9">
        <v>8</v>
      </c>
      <c r="C115" s="9" t="s">
        <v>54</v>
      </c>
      <c r="D115" s="9" t="s">
        <v>359</v>
      </c>
      <c r="E115" s="11">
        <v>0.37511855873069849</v>
      </c>
      <c r="F115" s="9" t="s">
        <v>489</v>
      </c>
      <c r="G115" s="9" t="s">
        <v>490</v>
      </c>
      <c r="H115" s="9" t="s">
        <v>352</v>
      </c>
    </row>
    <row r="116" spans="1:8" ht="65" customHeight="1">
      <c r="A116" s="9" t="s">
        <v>182</v>
      </c>
      <c r="B116" s="9">
        <v>1</v>
      </c>
      <c r="C116" s="9" t="s">
        <v>54</v>
      </c>
      <c r="D116" s="9" t="s">
        <v>292</v>
      </c>
      <c r="E116" s="11">
        <v>0.56735402715200289</v>
      </c>
      <c r="F116" s="9" t="s">
        <v>395</v>
      </c>
      <c r="G116" s="9" t="s">
        <v>396</v>
      </c>
      <c r="H116" s="9" t="s">
        <v>397</v>
      </c>
    </row>
    <row r="117" spans="1:8" ht="65" customHeight="1">
      <c r="A117" s="9" t="s">
        <v>182</v>
      </c>
      <c r="B117" s="9">
        <v>2</v>
      </c>
      <c r="C117" s="9" t="s">
        <v>54</v>
      </c>
      <c r="D117" s="9" t="s">
        <v>300</v>
      </c>
      <c r="E117" s="11">
        <v>0.5574286561931715</v>
      </c>
      <c r="F117" s="9" t="s">
        <v>388</v>
      </c>
      <c r="G117" s="9" t="s">
        <v>389</v>
      </c>
      <c r="H117" s="9" t="s">
        <v>390</v>
      </c>
    </row>
    <row r="118" spans="1:8" ht="65" customHeight="1">
      <c r="A118" s="9" t="s">
        <v>182</v>
      </c>
      <c r="B118" s="9">
        <v>3</v>
      </c>
      <c r="C118" s="9" t="s">
        <v>54</v>
      </c>
      <c r="D118" s="9" t="s">
        <v>292</v>
      </c>
      <c r="E118" s="11">
        <v>0.54540127822983275</v>
      </c>
      <c r="F118" s="9" t="s">
        <v>461</v>
      </c>
      <c r="G118" s="9" t="s">
        <v>462</v>
      </c>
      <c r="H118" s="9" t="s">
        <v>463</v>
      </c>
    </row>
    <row r="119" spans="1:8" ht="65" customHeight="1">
      <c r="A119" s="9" t="s">
        <v>182</v>
      </c>
      <c r="B119" s="9">
        <v>4</v>
      </c>
      <c r="C119" s="9" t="s">
        <v>54</v>
      </c>
      <c r="D119" s="9" t="s">
        <v>450</v>
      </c>
      <c r="E119" s="11">
        <v>0.49620523961932989</v>
      </c>
      <c r="F119" s="9" t="s">
        <v>491</v>
      </c>
      <c r="G119" s="9" t="s">
        <v>492</v>
      </c>
      <c r="H119" s="9" t="s">
        <v>394</v>
      </c>
    </row>
    <row r="120" spans="1:8" ht="65" customHeight="1">
      <c r="A120" s="9" t="s">
        <v>182</v>
      </c>
      <c r="B120" s="9">
        <v>5</v>
      </c>
      <c r="C120" s="9" t="s">
        <v>54</v>
      </c>
      <c r="D120" s="9" t="s">
        <v>337</v>
      </c>
      <c r="E120" s="11">
        <v>0.48627385164376791</v>
      </c>
      <c r="F120" s="9" t="s">
        <v>493</v>
      </c>
      <c r="G120" s="9" t="s">
        <v>494</v>
      </c>
      <c r="H120" s="9" t="s">
        <v>394</v>
      </c>
    </row>
    <row r="121" spans="1:8" ht="65" customHeight="1">
      <c r="A121" s="9" t="s">
        <v>182</v>
      </c>
      <c r="B121" s="9">
        <v>6</v>
      </c>
      <c r="C121" s="9" t="s">
        <v>54</v>
      </c>
      <c r="D121" s="9" t="s">
        <v>391</v>
      </c>
      <c r="E121" s="11">
        <v>0.47210353120157939</v>
      </c>
      <c r="F121" s="9" t="s">
        <v>495</v>
      </c>
      <c r="G121" s="9" t="s">
        <v>496</v>
      </c>
      <c r="H121" s="9" t="s">
        <v>463</v>
      </c>
    </row>
    <row r="122" spans="1:8" ht="65" customHeight="1">
      <c r="A122" s="9" t="s">
        <v>182</v>
      </c>
      <c r="B122" s="9">
        <v>7</v>
      </c>
      <c r="C122" s="9" t="s">
        <v>54</v>
      </c>
      <c r="D122" s="9" t="s">
        <v>359</v>
      </c>
      <c r="E122" s="11">
        <v>0.46734200128899123</v>
      </c>
      <c r="F122" s="9" t="s">
        <v>489</v>
      </c>
      <c r="G122" s="9" t="s">
        <v>490</v>
      </c>
      <c r="H122" s="9" t="s">
        <v>352</v>
      </c>
    </row>
    <row r="123" spans="1:8" ht="65" customHeight="1">
      <c r="A123" s="9" t="s">
        <v>182</v>
      </c>
      <c r="B123" s="9">
        <v>8</v>
      </c>
      <c r="C123" s="9" t="s">
        <v>54</v>
      </c>
      <c r="D123" s="9" t="s">
        <v>391</v>
      </c>
      <c r="E123" s="11">
        <v>0.4576136613611369</v>
      </c>
      <c r="F123" s="9" t="s">
        <v>497</v>
      </c>
      <c r="G123" s="9" t="s">
        <v>498</v>
      </c>
      <c r="H123" s="9" t="s">
        <v>352</v>
      </c>
    </row>
    <row r="124" spans="1:8" ht="65" customHeight="1">
      <c r="A124" s="9" t="s">
        <v>191</v>
      </c>
      <c r="B124" s="9">
        <v>1</v>
      </c>
      <c r="C124" s="9" t="s">
        <v>54</v>
      </c>
      <c r="D124" s="9" t="s">
        <v>450</v>
      </c>
      <c r="E124" s="11">
        <v>0.53135547244929149</v>
      </c>
      <c r="F124" s="9" t="s">
        <v>499</v>
      </c>
      <c r="G124" s="9" t="s">
        <v>500</v>
      </c>
      <c r="H124" s="9" t="s">
        <v>390</v>
      </c>
    </row>
    <row r="125" spans="1:8" ht="65" customHeight="1">
      <c r="A125" s="9" t="s">
        <v>191</v>
      </c>
      <c r="B125" s="9">
        <v>2</v>
      </c>
      <c r="C125" s="9" t="s">
        <v>54</v>
      </c>
      <c r="D125" s="9" t="s">
        <v>450</v>
      </c>
      <c r="E125" s="11">
        <v>0.46829939023788869</v>
      </c>
      <c r="F125" s="9" t="s">
        <v>501</v>
      </c>
      <c r="G125" s="9" t="s">
        <v>502</v>
      </c>
      <c r="H125" s="9" t="s">
        <v>503</v>
      </c>
    </row>
    <row r="126" spans="1:8" ht="65" customHeight="1">
      <c r="A126" s="9" t="s">
        <v>191</v>
      </c>
      <c r="B126" s="9">
        <v>3</v>
      </c>
      <c r="C126" s="9" t="s">
        <v>54</v>
      </c>
      <c r="D126" s="9" t="s">
        <v>300</v>
      </c>
      <c r="E126" s="11">
        <v>0.45728174687998951</v>
      </c>
      <c r="F126" s="9" t="s">
        <v>504</v>
      </c>
      <c r="G126" s="9" t="s">
        <v>505</v>
      </c>
      <c r="H126" s="9" t="s">
        <v>295</v>
      </c>
    </row>
    <row r="127" spans="1:8" ht="65" customHeight="1">
      <c r="A127" s="9" t="s">
        <v>191</v>
      </c>
      <c r="B127" s="9">
        <v>4</v>
      </c>
      <c r="C127" s="9" t="s">
        <v>54</v>
      </c>
      <c r="D127" s="9" t="s">
        <v>450</v>
      </c>
      <c r="E127" s="11">
        <v>0.45584475933000329</v>
      </c>
      <c r="F127" s="9" t="s">
        <v>479</v>
      </c>
      <c r="G127" s="9" t="s">
        <v>480</v>
      </c>
      <c r="H127" s="9" t="s">
        <v>340</v>
      </c>
    </row>
    <row r="128" spans="1:8" ht="65" customHeight="1">
      <c r="A128" s="9" t="s">
        <v>191</v>
      </c>
      <c r="B128" s="9">
        <v>5</v>
      </c>
      <c r="C128" s="9" t="s">
        <v>54</v>
      </c>
      <c r="D128" s="9" t="s">
        <v>450</v>
      </c>
      <c r="E128" s="11">
        <v>0.43534870142602922</v>
      </c>
      <c r="F128" s="9" t="s">
        <v>506</v>
      </c>
      <c r="G128" s="9" t="s">
        <v>507</v>
      </c>
      <c r="H128" s="9" t="s">
        <v>508</v>
      </c>
    </row>
    <row r="129" spans="1:8" ht="65" customHeight="1">
      <c r="A129" s="9" t="s">
        <v>191</v>
      </c>
      <c r="B129" s="9">
        <v>6</v>
      </c>
      <c r="C129" s="9" t="s">
        <v>54</v>
      </c>
      <c r="D129" s="9" t="s">
        <v>359</v>
      </c>
      <c r="E129" s="11">
        <v>0.41630010200211992</v>
      </c>
      <c r="F129" s="9" t="s">
        <v>489</v>
      </c>
      <c r="G129" s="9" t="s">
        <v>490</v>
      </c>
      <c r="H129" s="9" t="s">
        <v>352</v>
      </c>
    </row>
    <row r="130" spans="1:8" ht="65" customHeight="1">
      <c r="A130" s="9" t="s">
        <v>191</v>
      </c>
      <c r="B130" s="9">
        <v>7</v>
      </c>
      <c r="C130" s="9" t="s">
        <v>54</v>
      </c>
      <c r="D130" s="9" t="s">
        <v>359</v>
      </c>
      <c r="E130" s="11">
        <v>0.40808591689504081</v>
      </c>
      <c r="F130" s="9" t="s">
        <v>483</v>
      </c>
      <c r="G130" s="9" t="s">
        <v>484</v>
      </c>
      <c r="H130" s="9" t="s">
        <v>485</v>
      </c>
    </row>
    <row r="131" spans="1:8" ht="65" customHeight="1">
      <c r="A131" s="9" t="s">
        <v>191</v>
      </c>
      <c r="B131" s="9">
        <v>8</v>
      </c>
      <c r="C131" s="9" t="s">
        <v>54</v>
      </c>
      <c r="D131" s="9" t="s">
        <v>292</v>
      </c>
      <c r="E131" s="11">
        <v>0.38716162729796327</v>
      </c>
      <c r="F131" s="9" t="s">
        <v>461</v>
      </c>
      <c r="G131" s="9" t="s">
        <v>462</v>
      </c>
      <c r="H131" s="9" t="s">
        <v>463</v>
      </c>
    </row>
    <row r="132" spans="1:8" ht="65" customHeight="1">
      <c r="A132" s="9" t="s">
        <v>200</v>
      </c>
      <c r="B132" s="9">
        <v>1</v>
      </c>
      <c r="C132" s="9" t="s">
        <v>85</v>
      </c>
      <c r="D132" s="9" t="s">
        <v>304</v>
      </c>
      <c r="E132" s="11">
        <v>0.51491122935305167</v>
      </c>
      <c r="F132" s="9" t="s">
        <v>509</v>
      </c>
      <c r="G132" s="9" t="s">
        <v>510</v>
      </c>
      <c r="H132" s="9" t="s">
        <v>511</v>
      </c>
    </row>
    <row r="133" spans="1:8" ht="65" customHeight="1">
      <c r="A133" s="9" t="s">
        <v>200</v>
      </c>
      <c r="B133" s="9">
        <v>2</v>
      </c>
      <c r="C133" s="9" t="s">
        <v>85</v>
      </c>
      <c r="D133" s="9" t="s">
        <v>304</v>
      </c>
      <c r="E133" s="11">
        <v>0.45276550410869087</v>
      </c>
      <c r="F133" s="9" t="s">
        <v>512</v>
      </c>
      <c r="G133" s="9" t="s">
        <v>513</v>
      </c>
      <c r="H133" s="9" t="s">
        <v>514</v>
      </c>
    </row>
    <row r="134" spans="1:8" ht="65" customHeight="1">
      <c r="A134" s="9" t="s">
        <v>200</v>
      </c>
      <c r="B134" s="9">
        <v>3</v>
      </c>
      <c r="C134" s="9" t="s">
        <v>85</v>
      </c>
      <c r="D134" s="9" t="s">
        <v>304</v>
      </c>
      <c r="E134" s="11">
        <v>0.41209762203576877</v>
      </c>
      <c r="F134" s="9" t="s">
        <v>305</v>
      </c>
      <c r="G134" s="9" t="s">
        <v>306</v>
      </c>
      <c r="H134" s="9" t="s">
        <v>307</v>
      </c>
    </row>
    <row r="135" spans="1:8" ht="65" customHeight="1">
      <c r="A135" s="9" t="s">
        <v>200</v>
      </c>
      <c r="B135" s="9">
        <v>4</v>
      </c>
      <c r="C135" s="9" t="s">
        <v>75</v>
      </c>
      <c r="D135" s="9" t="s">
        <v>296</v>
      </c>
      <c r="E135" s="11">
        <v>0.4000709567428371</v>
      </c>
      <c r="F135" s="9" t="s">
        <v>379</v>
      </c>
      <c r="G135" s="9" t="s">
        <v>380</v>
      </c>
      <c r="H135" s="9" t="s">
        <v>381</v>
      </c>
    </row>
    <row r="136" spans="1:8" ht="65" customHeight="1">
      <c r="A136" s="9" t="s">
        <v>200</v>
      </c>
      <c r="B136" s="9">
        <v>5</v>
      </c>
      <c r="C136" s="9" t="s">
        <v>85</v>
      </c>
      <c r="D136" s="9" t="s">
        <v>304</v>
      </c>
      <c r="E136" s="11">
        <v>0.38164309504590649</v>
      </c>
      <c r="F136" s="9" t="s">
        <v>362</v>
      </c>
      <c r="G136" s="9" t="s">
        <v>363</v>
      </c>
      <c r="H136" s="9" t="s">
        <v>364</v>
      </c>
    </row>
    <row r="137" spans="1:8" ht="65" customHeight="1">
      <c r="A137" s="9" t="s">
        <v>200</v>
      </c>
      <c r="B137" s="9">
        <v>6</v>
      </c>
      <c r="C137" s="9" t="s">
        <v>75</v>
      </c>
      <c r="D137" s="9" t="s">
        <v>296</v>
      </c>
      <c r="E137" s="11">
        <v>0.37789333489438282</v>
      </c>
      <c r="F137" s="9" t="s">
        <v>297</v>
      </c>
      <c r="G137" s="9" t="s">
        <v>298</v>
      </c>
      <c r="H137" s="9" t="s">
        <v>299</v>
      </c>
    </row>
    <row r="138" spans="1:8" ht="65" customHeight="1">
      <c r="A138" s="9" t="s">
        <v>200</v>
      </c>
      <c r="B138" s="9">
        <v>7</v>
      </c>
      <c r="C138" s="9" t="s">
        <v>54</v>
      </c>
      <c r="D138" s="9" t="s">
        <v>359</v>
      </c>
      <c r="E138" s="11">
        <v>0.37038300036041899</v>
      </c>
      <c r="F138" s="9" t="s">
        <v>453</v>
      </c>
      <c r="G138" s="9" t="s">
        <v>454</v>
      </c>
      <c r="H138" s="9" t="s">
        <v>295</v>
      </c>
    </row>
    <row r="139" spans="1:8" ht="65" customHeight="1">
      <c r="A139" s="9" t="s">
        <v>200</v>
      </c>
      <c r="B139" s="9">
        <v>8</v>
      </c>
      <c r="C139" s="9" t="s">
        <v>85</v>
      </c>
      <c r="D139" s="9" t="s">
        <v>304</v>
      </c>
      <c r="E139" s="11">
        <v>0.36239988450429628</v>
      </c>
      <c r="F139" s="9" t="s">
        <v>515</v>
      </c>
      <c r="G139" s="9" t="s">
        <v>516</v>
      </c>
      <c r="H139" s="9" t="s">
        <v>517</v>
      </c>
    </row>
    <row r="140" spans="1:8" ht="65" customHeight="1">
      <c r="A140" s="9" t="s">
        <v>209</v>
      </c>
      <c r="B140" s="9">
        <v>1</v>
      </c>
      <c r="C140" s="9" t="s">
        <v>210</v>
      </c>
      <c r="D140" s="9" t="s">
        <v>518</v>
      </c>
      <c r="E140" s="11">
        <v>0.65827299070749956</v>
      </c>
      <c r="F140" s="9" t="s">
        <v>519</v>
      </c>
      <c r="G140" s="9" t="s">
        <v>520</v>
      </c>
      <c r="H140" s="9" t="s">
        <v>394</v>
      </c>
    </row>
    <row r="141" spans="1:8" ht="65" customHeight="1">
      <c r="A141" s="9" t="s">
        <v>209</v>
      </c>
      <c r="B141" s="9">
        <v>2</v>
      </c>
      <c r="C141" s="9" t="s">
        <v>210</v>
      </c>
      <c r="D141" s="9" t="s">
        <v>518</v>
      </c>
      <c r="E141" s="11">
        <v>0.63069473301136525</v>
      </c>
      <c r="F141" s="9" t="s">
        <v>521</v>
      </c>
      <c r="G141" s="9" t="s">
        <v>522</v>
      </c>
      <c r="H141" s="9" t="s">
        <v>324</v>
      </c>
    </row>
    <row r="142" spans="1:8" ht="65" customHeight="1">
      <c r="A142" s="9" t="s">
        <v>209</v>
      </c>
      <c r="B142" s="9">
        <v>3</v>
      </c>
      <c r="C142" s="9" t="s">
        <v>210</v>
      </c>
      <c r="D142" s="9" t="s">
        <v>518</v>
      </c>
      <c r="E142" s="11">
        <v>0.58443075771902142</v>
      </c>
      <c r="F142" s="9" t="s">
        <v>523</v>
      </c>
      <c r="G142" s="9" t="s">
        <v>524</v>
      </c>
      <c r="H142" s="9" t="s">
        <v>488</v>
      </c>
    </row>
    <row r="143" spans="1:8" ht="65" customHeight="1">
      <c r="A143" s="9" t="s">
        <v>209</v>
      </c>
      <c r="B143" s="9">
        <v>4</v>
      </c>
      <c r="C143" s="9" t="s">
        <v>210</v>
      </c>
      <c r="D143" s="9" t="s">
        <v>518</v>
      </c>
      <c r="E143" s="11">
        <v>0.53990447848874479</v>
      </c>
      <c r="F143" s="9" t="s">
        <v>525</v>
      </c>
      <c r="G143" s="9" t="s">
        <v>526</v>
      </c>
      <c r="H143" s="9" t="s">
        <v>527</v>
      </c>
    </row>
    <row r="144" spans="1:8" ht="65" customHeight="1">
      <c r="A144" s="9" t="s">
        <v>209</v>
      </c>
      <c r="B144" s="9">
        <v>5</v>
      </c>
      <c r="C144" s="9" t="s">
        <v>210</v>
      </c>
      <c r="D144" s="9" t="s">
        <v>518</v>
      </c>
      <c r="E144" s="11">
        <v>0.53974661271215496</v>
      </c>
      <c r="F144" s="9" t="s">
        <v>528</v>
      </c>
      <c r="G144" s="9" t="s">
        <v>529</v>
      </c>
      <c r="H144" s="9" t="s">
        <v>503</v>
      </c>
    </row>
    <row r="145" spans="1:8" ht="65" customHeight="1">
      <c r="A145" s="9" t="s">
        <v>209</v>
      </c>
      <c r="B145" s="9">
        <v>6</v>
      </c>
      <c r="C145" s="9" t="s">
        <v>210</v>
      </c>
      <c r="D145" s="9" t="s">
        <v>518</v>
      </c>
      <c r="E145" s="11">
        <v>0.53628551251697387</v>
      </c>
      <c r="F145" s="9" t="s">
        <v>530</v>
      </c>
      <c r="G145" s="9" t="s">
        <v>531</v>
      </c>
      <c r="H145" s="9" t="s">
        <v>532</v>
      </c>
    </row>
    <row r="146" spans="1:8" ht="65" customHeight="1">
      <c r="A146" s="9" t="s">
        <v>209</v>
      </c>
      <c r="B146" s="9">
        <v>7</v>
      </c>
      <c r="C146" s="9" t="s">
        <v>210</v>
      </c>
      <c r="D146" s="9" t="s">
        <v>518</v>
      </c>
      <c r="E146" s="11">
        <v>0.53112195013617558</v>
      </c>
      <c r="F146" s="9" t="s">
        <v>533</v>
      </c>
      <c r="G146" s="9" t="s">
        <v>534</v>
      </c>
      <c r="H146" s="9" t="s">
        <v>340</v>
      </c>
    </row>
    <row r="147" spans="1:8" ht="65" customHeight="1">
      <c r="A147" s="9" t="s">
        <v>209</v>
      </c>
      <c r="B147" s="9">
        <v>8</v>
      </c>
      <c r="C147" s="9" t="s">
        <v>210</v>
      </c>
      <c r="D147" s="9" t="s">
        <v>518</v>
      </c>
      <c r="E147" s="11">
        <v>0.51706630931386888</v>
      </c>
      <c r="F147" s="9" t="s">
        <v>535</v>
      </c>
      <c r="G147" s="9" t="s">
        <v>536</v>
      </c>
      <c r="H147" s="9" t="s">
        <v>508</v>
      </c>
    </row>
    <row r="148" spans="1:8" ht="65" customHeight="1">
      <c r="A148" s="9" t="s">
        <v>219</v>
      </c>
      <c r="B148" s="9">
        <v>1</v>
      </c>
      <c r="C148" s="9" t="s">
        <v>210</v>
      </c>
      <c r="D148" s="9" t="s">
        <v>518</v>
      </c>
      <c r="E148" s="11">
        <v>0.47556424990366841</v>
      </c>
      <c r="F148" s="9" t="s">
        <v>519</v>
      </c>
      <c r="G148" s="9" t="s">
        <v>520</v>
      </c>
      <c r="H148" s="9" t="s">
        <v>394</v>
      </c>
    </row>
    <row r="149" spans="1:8" ht="65" customHeight="1">
      <c r="A149" s="9" t="s">
        <v>219</v>
      </c>
      <c r="B149" s="9">
        <v>2</v>
      </c>
      <c r="C149" s="9" t="s">
        <v>210</v>
      </c>
      <c r="D149" s="9" t="s">
        <v>518</v>
      </c>
      <c r="E149" s="11">
        <v>0.44382969848265241</v>
      </c>
      <c r="F149" s="9" t="s">
        <v>528</v>
      </c>
      <c r="G149" s="9" t="s">
        <v>529</v>
      </c>
      <c r="H149" s="9" t="s">
        <v>503</v>
      </c>
    </row>
    <row r="150" spans="1:8" ht="65" customHeight="1">
      <c r="A150" s="9" t="s">
        <v>219</v>
      </c>
      <c r="B150" s="9">
        <v>3</v>
      </c>
      <c r="C150" s="9" t="s">
        <v>210</v>
      </c>
      <c r="D150" s="9" t="s">
        <v>518</v>
      </c>
      <c r="E150" s="11">
        <v>0.42542270935242738</v>
      </c>
      <c r="F150" s="9" t="s">
        <v>537</v>
      </c>
      <c r="G150" s="9" t="s">
        <v>538</v>
      </c>
      <c r="H150" s="9" t="s">
        <v>349</v>
      </c>
    </row>
    <row r="151" spans="1:8" ht="65" customHeight="1">
      <c r="A151" s="9" t="s">
        <v>219</v>
      </c>
      <c r="B151" s="9">
        <v>4</v>
      </c>
      <c r="C151" s="9" t="s">
        <v>210</v>
      </c>
      <c r="D151" s="9" t="s">
        <v>518</v>
      </c>
      <c r="E151" s="11">
        <v>0.42211014107347788</v>
      </c>
      <c r="F151" s="9" t="s">
        <v>521</v>
      </c>
      <c r="G151" s="9" t="s">
        <v>522</v>
      </c>
      <c r="H151" s="9" t="s">
        <v>324</v>
      </c>
    </row>
    <row r="152" spans="1:8" ht="65" customHeight="1">
      <c r="A152" s="9" t="s">
        <v>219</v>
      </c>
      <c r="B152" s="9">
        <v>5</v>
      </c>
      <c r="C152" s="9" t="s">
        <v>210</v>
      </c>
      <c r="D152" s="9" t="s">
        <v>518</v>
      </c>
      <c r="E152" s="11">
        <v>0.42208983230809871</v>
      </c>
      <c r="F152" s="9" t="s">
        <v>525</v>
      </c>
      <c r="G152" s="9" t="s">
        <v>526</v>
      </c>
      <c r="H152" s="9" t="s">
        <v>527</v>
      </c>
    </row>
    <row r="153" spans="1:8" ht="65" customHeight="1">
      <c r="A153" s="9" t="s">
        <v>219</v>
      </c>
      <c r="B153" s="9">
        <v>6</v>
      </c>
      <c r="C153" s="9" t="s">
        <v>210</v>
      </c>
      <c r="D153" s="9" t="s">
        <v>518</v>
      </c>
      <c r="E153" s="11">
        <v>0.42092517999713341</v>
      </c>
      <c r="F153" s="9" t="s">
        <v>539</v>
      </c>
      <c r="G153" s="9" t="s">
        <v>540</v>
      </c>
      <c r="H153" s="9" t="s">
        <v>541</v>
      </c>
    </row>
    <row r="154" spans="1:8" ht="65" customHeight="1">
      <c r="A154" s="9" t="s">
        <v>219</v>
      </c>
      <c r="B154" s="9">
        <v>7</v>
      </c>
      <c r="C154" s="9" t="s">
        <v>210</v>
      </c>
      <c r="D154" s="9" t="s">
        <v>518</v>
      </c>
      <c r="E154" s="11">
        <v>0.4048073088781553</v>
      </c>
      <c r="F154" s="9" t="s">
        <v>533</v>
      </c>
      <c r="G154" s="9" t="s">
        <v>534</v>
      </c>
      <c r="H154" s="9" t="s">
        <v>340</v>
      </c>
    </row>
    <row r="155" spans="1:8" ht="65" customHeight="1">
      <c r="A155" s="9" t="s">
        <v>219</v>
      </c>
      <c r="B155" s="9">
        <v>8</v>
      </c>
      <c r="C155" s="9" t="s">
        <v>210</v>
      </c>
      <c r="D155" s="9" t="s">
        <v>518</v>
      </c>
      <c r="E155" s="11">
        <v>0.40421509940220762</v>
      </c>
      <c r="F155" s="9" t="s">
        <v>542</v>
      </c>
      <c r="G155" s="9" t="s">
        <v>543</v>
      </c>
      <c r="H155" s="9" t="s">
        <v>336</v>
      </c>
    </row>
    <row r="156" spans="1:8" ht="65" customHeight="1">
      <c r="A156" s="9" t="s">
        <v>228</v>
      </c>
      <c r="B156" s="9">
        <v>1</v>
      </c>
      <c r="C156" s="9" t="s">
        <v>210</v>
      </c>
      <c r="D156" s="9" t="s">
        <v>518</v>
      </c>
      <c r="E156" s="11">
        <v>0.31427283513965248</v>
      </c>
      <c r="F156" s="9" t="s">
        <v>544</v>
      </c>
      <c r="G156" s="9" t="s">
        <v>545</v>
      </c>
      <c r="H156" s="9" t="s">
        <v>310</v>
      </c>
    </row>
    <row r="157" spans="1:8" ht="65" customHeight="1">
      <c r="A157" s="9" t="s">
        <v>228</v>
      </c>
      <c r="B157" s="9">
        <v>2</v>
      </c>
      <c r="C157" s="9" t="s">
        <v>54</v>
      </c>
      <c r="D157" s="9" t="s">
        <v>337</v>
      </c>
      <c r="E157" s="11">
        <v>0.25540778187198598</v>
      </c>
      <c r="F157" s="9" t="s">
        <v>338</v>
      </c>
      <c r="G157" s="9" t="s">
        <v>339</v>
      </c>
      <c r="H157" s="9" t="s">
        <v>340</v>
      </c>
    </row>
    <row r="158" spans="1:8" ht="65" customHeight="1">
      <c r="A158" s="9" t="s">
        <v>228</v>
      </c>
      <c r="B158" s="9">
        <v>3</v>
      </c>
      <c r="C158" s="9" t="s">
        <v>546</v>
      </c>
      <c r="D158" s="9" t="s">
        <v>547</v>
      </c>
      <c r="E158" s="11">
        <v>0.25428251564911092</v>
      </c>
      <c r="F158" s="9" t="s">
        <v>548</v>
      </c>
      <c r="G158" s="9" t="s">
        <v>549</v>
      </c>
      <c r="H158" s="9" t="s">
        <v>550</v>
      </c>
    </row>
    <row r="159" spans="1:8" ht="65" customHeight="1">
      <c r="A159" s="9" t="s">
        <v>228</v>
      </c>
      <c r="B159" s="9">
        <v>4</v>
      </c>
      <c r="C159" s="9" t="s">
        <v>54</v>
      </c>
      <c r="D159" s="9" t="s">
        <v>321</v>
      </c>
      <c r="E159" s="11">
        <v>0.25131241007343469</v>
      </c>
      <c r="F159" s="9" t="s">
        <v>322</v>
      </c>
      <c r="G159" s="9" t="s">
        <v>323</v>
      </c>
      <c r="H159" s="9" t="s">
        <v>324</v>
      </c>
    </row>
    <row r="160" spans="1:8" ht="65" customHeight="1">
      <c r="A160" s="9" t="s">
        <v>228</v>
      </c>
      <c r="B160" s="9">
        <v>5</v>
      </c>
      <c r="C160" s="9" t="s">
        <v>75</v>
      </c>
      <c r="D160" s="9" t="s">
        <v>296</v>
      </c>
      <c r="E160" s="11">
        <v>0.2411327977599888</v>
      </c>
      <c r="F160" s="9" t="s">
        <v>325</v>
      </c>
      <c r="G160" s="9" t="s">
        <v>326</v>
      </c>
      <c r="H160" s="9" t="s">
        <v>327</v>
      </c>
    </row>
    <row r="161" spans="1:8" ht="65" customHeight="1">
      <c r="A161" s="9" t="s">
        <v>228</v>
      </c>
      <c r="B161" s="9">
        <v>6</v>
      </c>
      <c r="C161" s="9" t="s">
        <v>54</v>
      </c>
      <c r="D161" s="9" t="s">
        <v>476</v>
      </c>
      <c r="E161" s="11">
        <v>0.2387402329292023</v>
      </c>
      <c r="F161" s="9" t="s">
        <v>551</v>
      </c>
      <c r="G161" s="9" t="s">
        <v>552</v>
      </c>
      <c r="H161" s="9" t="s">
        <v>352</v>
      </c>
    </row>
    <row r="162" spans="1:8" ht="65" customHeight="1">
      <c r="A162" s="9" t="s">
        <v>228</v>
      </c>
      <c r="B162" s="9">
        <v>7</v>
      </c>
      <c r="C162" s="9" t="s">
        <v>85</v>
      </c>
      <c r="D162" s="9" t="s">
        <v>304</v>
      </c>
      <c r="E162" s="11">
        <v>0.2361476615058071</v>
      </c>
      <c r="F162" s="9" t="s">
        <v>370</v>
      </c>
      <c r="G162" s="9" t="s">
        <v>371</v>
      </c>
      <c r="H162" s="9" t="s">
        <v>372</v>
      </c>
    </row>
    <row r="163" spans="1:8" ht="65" customHeight="1">
      <c r="A163" s="9" t="s">
        <v>228</v>
      </c>
      <c r="B163" s="9">
        <v>8</v>
      </c>
      <c r="C163" s="9" t="s">
        <v>75</v>
      </c>
      <c r="D163" s="9" t="s">
        <v>296</v>
      </c>
      <c r="E163" s="11">
        <v>0.22958421481735131</v>
      </c>
      <c r="F163" s="9" t="s">
        <v>432</v>
      </c>
      <c r="G163" s="9" t="s">
        <v>433</v>
      </c>
      <c r="H163" s="9" t="s">
        <v>434</v>
      </c>
    </row>
    <row r="164" spans="1:8" ht="65" customHeight="1">
      <c r="A164" s="9" t="s">
        <v>236</v>
      </c>
      <c r="B164" s="9">
        <v>1</v>
      </c>
      <c r="C164" s="9" t="s">
        <v>75</v>
      </c>
      <c r="D164" s="9" t="s">
        <v>296</v>
      </c>
      <c r="E164" s="11">
        <v>0.46219961588535569</v>
      </c>
      <c r="F164" s="9" t="s">
        <v>379</v>
      </c>
      <c r="G164" s="9" t="s">
        <v>380</v>
      </c>
      <c r="H164" s="9" t="s">
        <v>381</v>
      </c>
    </row>
    <row r="165" spans="1:8" ht="65" customHeight="1">
      <c r="A165" s="9" t="s">
        <v>236</v>
      </c>
      <c r="B165" s="9">
        <v>2</v>
      </c>
      <c r="C165" s="9" t="s">
        <v>75</v>
      </c>
      <c r="D165" s="9" t="s">
        <v>296</v>
      </c>
      <c r="E165" s="11">
        <v>0.43983573348371169</v>
      </c>
      <c r="F165" s="9" t="s">
        <v>376</v>
      </c>
      <c r="G165" s="9" t="s">
        <v>377</v>
      </c>
      <c r="H165" s="9" t="s">
        <v>378</v>
      </c>
    </row>
    <row r="166" spans="1:8" ht="65" customHeight="1">
      <c r="A166" s="9" t="s">
        <v>236</v>
      </c>
      <c r="B166" s="9">
        <v>3</v>
      </c>
      <c r="C166" s="9" t="s">
        <v>75</v>
      </c>
      <c r="D166" s="9" t="s">
        <v>296</v>
      </c>
      <c r="E166" s="11">
        <v>0.43219288216886009</v>
      </c>
      <c r="F166" s="9" t="s">
        <v>353</v>
      </c>
      <c r="G166" s="9" t="s">
        <v>354</v>
      </c>
      <c r="H166" s="9" t="s">
        <v>355</v>
      </c>
    </row>
    <row r="167" spans="1:8" ht="65" customHeight="1">
      <c r="A167" s="9" t="s">
        <v>236</v>
      </c>
      <c r="B167" s="9">
        <v>4</v>
      </c>
      <c r="C167" s="9" t="s">
        <v>75</v>
      </c>
      <c r="D167" s="9" t="s">
        <v>296</v>
      </c>
      <c r="E167" s="11">
        <v>0.42610300512071042</v>
      </c>
      <c r="F167" s="9" t="s">
        <v>553</v>
      </c>
      <c r="G167" s="9" t="s">
        <v>554</v>
      </c>
      <c r="H167" s="9" t="s">
        <v>555</v>
      </c>
    </row>
    <row r="168" spans="1:8" ht="65" customHeight="1">
      <c r="A168" s="9" t="s">
        <v>236</v>
      </c>
      <c r="B168" s="9">
        <v>5</v>
      </c>
      <c r="C168" s="9" t="s">
        <v>85</v>
      </c>
      <c r="D168" s="9" t="s">
        <v>304</v>
      </c>
      <c r="E168" s="11">
        <v>0.41527451653735298</v>
      </c>
      <c r="F168" s="9" t="s">
        <v>362</v>
      </c>
      <c r="G168" s="9" t="s">
        <v>363</v>
      </c>
      <c r="H168" s="9" t="s">
        <v>364</v>
      </c>
    </row>
    <row r="169" spans="1:8" ht="65" customHeight="1">
      <c r="A169" s="9" t="s">
        <v>236</v>
      </c>
      <c r="B169" s="9">
        <v>6</v>
      </c>
      <c r="C169" s="9" t="s">
        <v>210</v>
      </c>
      <c r="D169" s="9" t="s">
        <v>518</v>
      </c>
      <c r="E169" s="11">
        <v>0.40640927462007892</v>
      </c>
      <c r="F169" s="9" t="s">
        <v>535</v>
      </c>
      <c r="G169" s="9" t="s">
        <v>536</v>
      </c>
      <c r="H169" s="9" t="s">
        <v>508</v>
      </c>
    </row>
    <row r="170" spans="1:8" ht="65" customHeight="1">
      <c r="A170" s="9" t="s">
        <v>236</v>
      </c>
      <c r="B170" s="9">
        <v>7</v>
      </c>
      <c r="C170" s="9" t="s">
        <v>54</v>
      </c>
      <c r="D170" s="9" t="s">
        <v>359</v>
      </c>
      <c r="E170" s="11">
        <v>0.40581758735322199</v>
      </c>
      <c r="F170" s="9" t="s">
        <v>483</v>
      </c>
      <c r="G170" s="9" t="s">
        <v>484</v>
      </c>
      <c r="H170" s="9" t="s">
        <v>485</v>
      </c>
    </row>
    <row r="171" spans="1:8" ht="65" customHeight="1">
      <c r="A171" s="9" t="s">
        <v>236</v>
      </c>
      <c r="B171" s="9">
        <v>8</v>
      </c>
      <c r="C171" s="9" t="s">
        <v>54</v>
      </c>
      <c r="D171" s="9" t="s">
        <v>359</v>
      </c>
      <c r="E171" s="11">
        <v>0.39855840917985957</v>
      </c>
      <c r="F171" s="9" t="s">
        <v>489</v>
      </c>
      <c r="G171" s="9" t="s">
        <v>490</v>
      </c>
      <c r="H171" s="9" t="s">
        <v>352</v>
      </c>
    </row>
    <row r="172" spans="1:8" ht="65" customHeight="1">
      <c r="A172" s="9" t="s">
        <v>245</v>
      </c>
      <c r="B172" s="9">
        <v>1</v>
      </c>
      <c r="C172" s="9" t="s">
        <v>54</v>
      </c>
      <c r="D172" s="9" t="s">
        <v>300</v>
      </c>
      <c r="E172" s="11">
        <v>0.37000931984975111</v>
      </c>
      <c r="F172" s="9" t="s">
        <v>486</v>
      </c>
      <c r="G172" s="9" t="s">
        <v>487</v>
      </c>
      <c r="H172" s="9" t="s">
        <v>488</v>
      </c>
    </row>
    <row r="173" spans="1:8" ht="65" customHeight="1">
      <c r="A173" s="9" t="s">
        <v>245</v>
      </c>
      <c r="B173" s="9">
        <v>2</v>
      </c>
      <c r="C173" s="9" t="s">
        <v>54</v>
      </c>
      <c r="D173" s="9" t="s">
        <v>359</v>
      </c>
      <c r="E173" s="11">
        <v>0.36990148136125373</v>
      </c>
      <c r="F173" s="9" t="s">
        <v>365</v>
      </c>
      <c r="G173" s="9" t="s">
        <v>366</v>
      </c>
      <c r="H173" s="9" t="s">
        <v>340</v>
      </c>
    </row>
    <row r="174" spans="1:8" ht="65" customHeight="1">
      <c r="A174" s="9" t="s">
        <v>245</v>
      </c>
      <c r="B174" s="9">
        <v>3</v>
      </c>
      <c r="C174" s="9" t="s">
        <v>75</v>
      </c>
      <c r="D174" s="9" t="s">
        <v>296</v>
      </c>
      <c r="E174" s="11">
        <v>0.35775271613398768</v>
      </c>
      <c r="F174" s="9" t="s">
        <v>353</v>
      </c>
      <c r="G174" s="9" t="s">
        <v>354</v>
      </c>
      <c r="H174" s="9" t="s">
        <v>355</v>
      </c>
    </row>
    <row r="175" spans="1:8" ht="65" customHeight="1">
      <c r="A175" s="9" t="s">
        <v>245</v>
      </c>
      <c r="B175" s="9">
        <v>4</v>
      </c>
      <c r="C175" s="9" t="s">
        <v>75</v>
      </c>
      <c r="D175" s="9" t="s">
        <v>296</v>
      </c>
      <c r="E175" s="11">
        <v>0.32931263720249071</v>
      </c>
      <c r="F175" s="9" t="s">
        <v>311</v>
      </c>
      <c r="G175" s="9" t="s">
        <v>312</v>
      </c>
      <c r="H175" s="9" t="s">
        <v>313</v>
      </c>
    </row>
    <row r="176" spans="1:8" ht="65" customHeight="1">
      <c r="A176" s="9" t="s">
        <v>245</v>
      </c>
      <c r="B176" s="9">
        <v>5</v>
      </c>
      <c r="C176" s="9" t="s">
        <v>54</v>
      </c>
      <c r="D176" s="9" t="s">
        <v>300</v>
      </c>
      <c r="E176" s="11">
        <v>0.32302318723361528</v>
      </c>
      <c r="F176" s="9" t="s">
        <v>458</v>
      </c>
      <c r="G176" s="9" t="s">
        <v>459</v>
      </c>
      <c r="H176" s="9" t="s">
        <v>460</v>
      </c>
    </row>
    <row r="177" spans="1:8" ht="65" customHeight="1">
      <c r="A177" s="9" t="s">
        <v>245</v>
      </c>
      <c r="B177" s="9">
        <v>6</v>
      </c>
      <c r="C177" s="9" t="s">
        <v>54</v>
      </c>
      <c r="D177" s="9" t="s">
        <v>292</v>
      </c>
      <c r="E177" s="11">
        <v>0.31486524745743721</v>
      </c>
      <c r="F177" s="9" t="s">
        <v>350</v>
      </c>
      <c r="G177" s="9" t="s">
        <v>351</v>
      </c>
      <c r="H177" s="9" t="s">
        <v>352</v>
      </c>
    </row>
    <row r="178" spans="1:8" ht="65" customHeight="1">
      <c r="A178" s="9" t="s">
        <v>245</v>
      </c>
      <c r="B178" s="9">
        <v>7</v>
      </c>
      <c r="C178" s="9" t="s">
        <v>54</v>
      </c>
      <c r="D178" s="9" t="s">
        <v>476</v>
      </c>
      <c r="E178" s="11">
        <v>0.30931785489610969</v>
      </c>
      <c r="F178" s="9" t="s">
        <v>556</v>
      </c>
      <c r="G178" s="9" t="s">
        <v>557</v>
      </c>
      <c r="H178" s="9" t="s">
        <v>558</v>
      </c>
    </row>
    <row r="179" spans="1:8" ht="65" customHeight="1">
      <c r="A179" s="9" t="s">
        <v>245</v>
      </c>
      <c r="B179" s="9">
        <v>8</v>
      </c>
      <c r="C179" s="9" t="s">
        <v>54</v>
      </c>
      <c r="D179" s="9" t="s">
        <v>300</v>
      </c>
      <c r="E179" s="11">
        <v>0.30499448725614697</v>
      </c>
      <c r="F179" s="9" t="s">
        <v>559</v>
      </c>
      <c r="G179" s="9" t="s">
        <v>560</v>
      </c>
      <c r="H179" s="9" t="s">
        <v>561</v>
      </c>
    </row>
    <row r="180" spans="1:8" ht="65" customHeight="1">
      <c r="A180" s="9" t="s">
        <v>255</v>
      </c>
      <c r="B180" s="9">
        <v>1</v>
      </c>
      <c r="C180" s="9" t="s">
        <v>75</v>
      </c>
      <c r="D180" s="9" t="s">
        <v>296</v>
      </c>
      <c r="E180" s="11">
        <v>0.50532768032450415</v>
      </c>
      <c r="F180" s="9" t="s">
        <v>376</v>
      </c>
      <c r="G180" s="9" t="s">
        <v>377</v>
      </c>
      <c r="H180" s="9" t="s">
        <v>378</v>
      </c>
    </row>
    <row r="181" spans="1:8" ht="65" customHeight="1">
      <c r="A181" s="9" t="s">
        <v>255</v>
      </c>
      <c r="B181" s="9">
        <v>2</v>
      </c>
      <c r="C181" s="9" t="s">
        <v>210</v>
      </c>
      <c r="D181" s="9" t="s">
        <v>518</v>
      </c>
      <c r="E181" s="11">
        <v>0.43619896967450772</v>
      </c>
      <c r="F181" s="9" t="s">
        <v>535</v>
      </c>
      <c r="G181" s="9" t="s">
        <v>536</v>
      </c>
      <c r="H181" s="9" t="s">
        <v>508</v>
      </c>
    </row>
    <row r="182" spans="1:8" ht="65" customHeight="1">
      <c r="A182" s="9" t="s">
        <v>255</v>
      </c>
      <c r="B182" s="9">
        <v>3</v>
      </c>
      <c r="C182" s="9" t="s">
        <v>210</v>
      </c>
      <c r="D182" s="9" t="s">
        <v>518</v>
      </c>
      <c r="E182" s="11">
        <v>0.35613598193669288</v>
      </c>
      <c r="F182" s="9" t="s">
        <v>562</v>
      </c>
      <c r="G182" s="9" t="s">
        <v>563</v>
      </c>
      <c r="H182" s="9" t="s">
        <v>558</v>
      </c>
    </row>
    <row r="183" spans="1:8" ht="65" customHeight="1">
      <c r="A183" s="9" t="s">
        <v>255</v>
      </c>
      <c r="B183" s="9">
        <v>4</v>
      </c>
      <c r="C183" s="9" t="s">
        <v>246</v>
      </c>
      <c r="D183" s="9" t="s">
        <v>317</v>
      </c>
      <c r="E183" s="11">
        <v>0.34008920922017227</v>
      </c>
      <c r="F183" s="9" t="s">
        <v>564</v>
      </c>
      <c r="G183" s="9" t="s">
        <v>565</v>
      </c>
      <c r="H183" s="9" t="s">
        <v>340</v>
      </c>
    </row>
    <row r="184" spans="1:8" ht="65" customHeight="1">
      <c r="A184" s="9" t="s">
        <v>255</v>
      </c>
      <c r="B184" s="9">
        <v>5</v>
      </c>
      <c r="C184" s="9" t="s">
        <v>75</v>
      </c>
      <c r="D184" s="9" t="s">
        <v>296</v>
      </c>
      <c r="E184" s="11">
        <v>0.31878115410888658</v>
      </c>
      <c r="F184" s="9" t="s">
        <v>328</v>
      </c>
      <c r="G184" s="9" t="s">
        <v>329</v>
      </c>
      <c r="H184" s="9" t="s">
        <v>330</v>
      </c>
    </row>
    <row r="185" spans="1:8" ht="65" customHeight="1">
      <c r="A185" s="9" t="s">
        <v>255</v>
      </c>
      <c r="B185" s="9">
        <v>6</v>
      </c>
      <c r="C185" s="9" t="s">
        <v>246</v>
      </c>
      <c r="D185" s="9" t="s">
        <v>317</v>
      </c>
      <c r="E185" s="11">
        <v>0.31660660113460998</v>
      </c>
      <c r="F185" s="9" t="s">
        <v>566</v>
      </c>
      <c r="G185" s="9" t="s">
        <v>567</v>
      </c>
      <c r="H185" s="9" t="s">
        <v>303</v>
      </c>
    </row>
    <row r="186" spans="1:8" ht="65" customHeight="1">
      <c r="A186" s="9" t="s">
        <v>255</v>
      </c>
      <c r="B186" s="9">
        <v>7</v>
      </c>
      <c r="C186" s="9" t="s">
        <v>75</v>
      </c>
      <c r="D186" s="9" t="s">
        <v>296</v>
      </c>
      <c r="E186" s="11">
        <v>0.31612724968044009</v>
      </c>
      <c r="F186" s="9" t="s">
        <v>568</v>
      </c>
      <c r="G186" s="9" t="s">
        <v>569</v>
      </c>
      <c r="H186" s="9" t="s">
        <v>570</v>
      </c>
    </row>
    <row r="187" spans="1:8" ht="65" customHeight="1">
      <c r="A187" s="9" t="s">
        <v>255</v>
      </c>
      <c r="B187" s="9">
        <v>8</v>
      </c>
      <c r="C187" s="9" t="s">
        <v>75</v>
      </c>
      <c r="D187" s="9" t="s">
        <v>296</v>
      </c>
      <c r="E187" s="11">
        <v>0.31551188330250202</v>
      </c>
      <c r="F187" s="9" t="s">
        <v>571</v>
      </c>
      <c r="G187" s="9" t="s">
        <v>572</v>
      </c>
      <c r="H187" s="9" t="s">
        <v>573</v>
      </c>
    </row>
    <row r="188" spans="1:8" ht="65" customHeight="1">
      <c r="A188" s="9" t="s">
        <v>264</v>
      </c>
      <c r="B188" s="9">
        <v>1</v>
      </c>
      <c r="C188" s="9" t="s">
        <v>54</v>
      </c>
      <c r="D188" s="9" t="s">
        <v>359</v>
      </c>
      <c r="E188" s="11">
        <v>0.30853292709485208</v>
      </c>
      <c r="F188" s="9" t="s">
        <v>483</v>
      </c>
      <c r="G188" s="9" t="s">
        <v>484</v>
      </c>
      <c r="H188" s="9" t="s">
        <v>485</v>
      </c>
    </row>
    <row r="189" spans="1:8" ht="65" customHeight="1">
      <c r="A189" s="9" t="s">
        <v>264</v>
      </c>
      <c r="B189" s="9">
        <v>2</v>
      </c>
      <c r="C189" s="9" t="s">
        <v>75</v>
      </c>
      <c r="D189" s="9" t="s">
        <v>296</v>
      </c>
      <c r="E189" s="11">
        <v>0.26289296331150758</v>
      </c>
      <c r="F189" s="9" t="s">
        <v>379</v>
      </c>
      <c r="G189" s="9" t="s">
        <v>380</v>
      </c>
      <c r="H189" s="9" t="s">
        <v>381</v>
      </c>
    </row>
    <row r="190" spans="1:8" ht="65" customHeight="1">
      <c r="A190" s="9" t="s">
        <v>264</v>
      </c>
      <c r="B190" s="9">
        <v>3</v>
      </c>
      <c r="C190" s="9" t="s">
        <v>54</v>
      </c>
      <c r="D190" s="9" t="s">
        <v>300</v>
      </c>
      <c r="E190" s="11">
        <v>0.26082447821676702</v>
      </c>
      <c r="F190" s="9" t="s">
        <v>458</v>
      </c>
      <c r="G190" s="9" t="s">
        <v>459</v>
      </c>
      <c r="H190" s="9" t="s">
        <v>460</v>
      </c>
    </row>
    <row r="191" spans="1:8" ht="65" customHeight="1">
      <c r="A191" s="9" t="s">
        <v>264</v>
      </c>
      <c r="B191" s="9">
        <v>4</v>
      </c>
      <c r="C191" s="9" t="s">
        <v>75</v>
      </c>
      <c r="D191" s="9" t="s">
        <v>296</v>
      </c>
      <c r="E191" s="11">
        <v>0.25478134942489389</v>
      </c>
      <c r="F191" s="9" t="s">
        <v>353</v>
      </c>
      <c r="G191" s="9" t="s">
        <v>354</v>
      </c>
      <c r="H191" s="9" t="s">
        <v>355</v>
      </c>
    </row>
    <row r="192" spans="1:8" ht="65" customHeight="1">
      <c r="A192" s="9" t="s">
        <v>264</v>
      </c>
      <c r="B192" s="9">
        <v>5</v>
      </c>
      <c r="C192" s="9" t="s">
        <v>54</v>
      </c>
      <c r="D192" s="9" t="s">
        <v>300</v>
      </c>
      <c r="E192" s="11">
        <v>0.25002781057007978</v>
      </c>
      <c r="F192" s="9" t="s">
        <v>400</v>
      </c>
      <c r="G192" s="9" t="s">
        <v>401</v>
      </c>
      <c r="H192" s="9" t="s">
        <v>349</v>
      </c>
    </row>
    <row r="193" spans="1:8" ht="65" customHeight="1">
      <c r="A193" s="9" t="s">
        <v>264</v>
      </c>
      <c r="B193" s="9">
        <v>6</v>
      </c>
      <c r="C193" s="9" t="s">
        <v>54</v>
      </c>
      <c r="D193" s="9" t="s">
        <v>450</v>
      </c>
      <c r="E193" s="11">
        <v>0.2452456929721559</v>
      </c>
      <c r="F193" s="9" t="s">
        <v>501</v>
      </c>
      <c r="G193" s="9" t="s">
        <v>502</v>
      </c>
      <c r="H193" s="9" t="s">
        <v>503</v>
      </c>
    </row>
    <row r="194" spans="1:8" ht="65" customHeight="1">
      <c r="A194" s="9" t="s">
        <v>264</v>
      </c>
      <c r="B194" s="9">
        <v>7</v>
      </c>
      <c r="C194" s="9" t="s">
        <v>54</v>
      </c>
      <c r="D194" s="9" t="s">
        <v>450</v>
      </c>
      <c r="E194" s="11">
        <v>0.24306109032276549</v>
      </c>
      <c r="F194" s="9" t="s">
        <v>506</v>
      </c>
      <c r="G194" s="9" t="s">
        <v>507</v>
      </c>
      <c r="H194" s="9" t="s">
        <v>508</v>
      </c>
    </row>
    <row r="195" spans="1:8" ht="65" customHeight="1">
      <c r="A195" s="9" t="s">
        <v>264</v>
      </c>
      <c r="B195" s="9">
        <v>8</v>
      </c>
      <c r="C195" s="9" t="s">
        <v>85</v>
      </c>
      <c r="D195" s="9" t="s">
        <v>304</v>
      </c>
      <c r="E195" s="11">
        <v>0.2351631648191139</v>
      </c>
      <c r="F195" s="9" t="s">
        <v>416</v>
      </c>
      <c r="G195" s="9" t="s">
        <v>417</v>
      </c>
      <c r="H195" s="9" t="s">
        <v>418</v>
      </c>
    </row>
    <row r="196" spans="1:8" ht="65" customHeight="1">
      <c r="A196" s="9" t="s">
        <v>274</v>
      </c>
      <c r="B196" s="9">
        <v>1</v>
      </c>
      <c r="C196" s="9" t="s">
        <v>54</v>
      </c>
      <c r="D196" s="9" t="s">
        <v>300</v>
      </c>
      <c r="E196" s="11">
        <v>0.38857421897923899</v>
      </c>
      <c r="F196" s="9" t="s">
        <v>504</v>
      </c>
      <c r="G196" s="9" t="s">
        <v>505</v>
      </c>
      <c r="H196" s="9" t="s">
        <v>295</v>
      </c>
    </row>
    <row r="197" spans="1:8" ht="65" customHeight="1">
      <c r="A197" s="9" t="s">
        <v>274</v>
      </c>
      <c r="B197" s="9">
        <v>2</v>
      </c>
      <c r="C197" s="9" t="s">
        <v>85</v>
      </c>
      <c r="D197" s="9" t="s">
        <v>304</v>
      </c>
      <c r="E197" s="11">
        <v>0.38321761630697448</v>
      </c>
      <c r="F197" s="9" t="s">
        <v>370</v>
      </c>
      <c r="G197" s="9" t="s">
        <v>371</v>
      </c>
      <c r="H197" s="9" t="s">
        <v>372</v>
      </c>
    </row>
    <row r="198" spans="1:8" ht="65" customHeight="1">
      <c r="A198" s="9" t="s">
        <v>274</v>
      </c>
      <c r="B198" s="9">
        <v>3</v>
      </c>
      <c r="C198" s="9" t="s">
        <v>54</v>
      </c>
      <c r="D198" s="9" t="s">
        <v>321</v>
      </c>
      <c r="E198" s="11">
        <v>0.35650271527964528</v>
      </c>
      <c r="F198" s="9" t="s">
        <v>574</v>
      </c>
      <c r="G198" s="9" t="s">
        <v>575</v>
      </c>
      <c r="H198" s="9" t="s">
        <v>397</v>
      </c>
    </row>
    <row r="199" spans="1:8" ht="65" customHeight="1">
      <c r="A199" s="9" t="s">
        <v>274</v>
      </c>
      <c r="B199" s="9">
        <v>4</v>
      </c>
      <c r="C199" s="9" t="s">
        <v>75</v>
      </c>
      <c r="D199" s="9" t="s">
        <v>296</v>
      </c>
      <c r="E199" s="11">
        <v>0.35033475930573821</v>
      </c>
      <c r="F199" s="9" t="s">
        <v>353</v>
      </c>
      <c r="G199" s="9" t="s">
        <v>354</v>
      </c>
      <c r="H199" s="9" t="s">
        <v>355</v>
      </c>
    </row>
    <row r="200" spans="1:8" ht="65" customHeight="1">
      <c r="A200" s="9" t="s">
        <v>274</v>
      </c>
      <c r="B200" s="9">
        <v>5</v>
      </c>
      <c r="C200" s="9" t="s">
        <v>75</v>
      </c>
      <c r="D200" s="9" t="s">
        <v>296</v>
      </c>
      <c r="E200" s="11">
        <v>0.34179418053835431</v>
      </c>
      <c r="F200" s="9" t="s">
        <v>297</v>
      </c>
      <c r="G200" s="9" t="s">
        <v>298</v>
      </c>
      <c r="H200" s="9" t="s">
        <v>299</v>
      </c>
    </row>
    <row r="201" spans="1:8" ht="65" customHeight="1">
      <c r="A201" s="9" t="s">
        <v>274</v>
      </c>
      <c r="B201" s="9">
        <v>6</v>
      </c>
      <c r="C201" s="9" t="s">
        <v>54</v>
      </c>
      <c r="D201" s="9" t="s">
        <v>391</v>
      </c>
      <c r="E201" s="11">
        <v>0.34069944749546238</v>
      </c>
      <c r="F201" s="9" t="s">
        <v>392</v>
      </c>
      <c r="G201" s="9" t="s">
        <v>393</v>
      </c>
      <c r="H201" s="9" t="s">
        <v>394</v>
      </c>
    </row>
    <row r="202" spans="1:8" ht="65" customHeight="1">
      <c r="A202" s="9" t="s">
        <v>274</v>
      </c>
      <c r="B202" s="9">
        <v>7</v>
      </c>
      <c r="C202" s="9" t="s">
        <v>85</v>
      </c>
      <c r="D202" s="9" t="s">
        <v>304</v>
      </c>
      <c r="E202" s="11">
        <v>0.33620893065715041</v>
      </c>
      <c r="F202" s="9" t="s">
        <v>362</v>
      </c>
      <c r="G202" s="9" t="s">
        <v>363</v>
      </c>
      <c r="H202" s="9" t="s">
        <v>364</v>
      </c>
    </row>
    <row r="203" spans="1:8" ht="65" customHeight="1">
      <c r="A203" s="9" t="s">
        <v>274</v>
      </c>
      <c r="B203" s="9">
        <v>8</v>
      </c>
      <c r="C203" s="9" t="s">
        <v>85</v>
      </c>
      <c r="D203" s="9" t="s">
        <v>304</v>
      </c>
      <c r="E203" s="11">
        <v>0.33424706993182429</v>
      </c>
      <c r="F203" s="9" t="s">
        <v>416</v>
      </c>
      <c r="G203" s="9" t="s">
        <v>417</v>
      </c>
      <c r="H203" s="9" t="s">
        <v>418</v>
      </c>
    </row>
  </sheetData>
  <autoFilter ref="A3:H203" xr:uid="{00000000-0009-0000-0000-000002000000}"/>
  <mergeCells count="2">
    <mergeCell ref="A2:H2"/>
    <mergeCell ref="A1:H1"/>
  </mergeCells>
  <phoneticPr fontId="1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指标汇总</vt:lpstr>
      <vt:lpstr>人工复核</vt:lpstr>
      <vt:lpstr>引用明细</vt:lpstr>
      <vt:lpstr>人工复核!Print_Area</vt:lpstr>
      <vt:lpstr>指标汇总!Print_Area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洋 汪</cp:lastModifiedBy>
  <cp:lastPrinted>2026-07-29T07:44:57Z</cp:lastPrinted>
  <dcterms:created xsi:type="dcterms:W3CDTF">2026-07-29T07:39:13Z</dcterms:created>
  <dcterms:modified xsi:type="dcterms:W3CDTF">2026-07-30T06:12:06Z</dcterms:modified>
</cp:coreProperties>
</file>